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TEN\Desktop\"/>
    </mc:Choice>
  </mc:AlternateContent>
  <xr:revisionPtr revIDLastSave="0" documentId="13_ncr:1_{F6DB7F57-2E84-4F27-9AF3-6D69D6C61CD0}" xr6:coauthVersionLast="47" xr6:coauthVersionMax="47" xr10:uidLastSave="{00000000-0000-0000-0000-000000000000}"/>
  <bookViews>
    <workbookView xWindow="-120" yWindow="-120" windowWidth="20730" windowHeight="11040" xr2:uid="{021CC775-6935-4F21-AFC2-E7E5CBA8BD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9" i="1" l="1"/>
  <c r="K14" i="1"/>
  <c r="K15" i="1"/>
  <c r="K16" i="1"/>
  <c r="K17" i="1"/>
  <c r="K18" i="1"/>
  <c r="K21" i="1"/>
  <c r="K22" i="1"/>
  <c r="K24" i="1"/>
  <c r="K25" i="1"/>
  <c r="K26" i="1"/>
  <c r="K27" i="1"/>
  <c r="K28" i="1"/>
  <c r="K30" i="1"/>
  <c r="K31" i="1"/>
  <c r="K32" i="1"/>
  <c r="K34" i="1"/>
  <c r="K35" i="1"/>
  <c r="K36" i="1"/>
  <c r="K37" i="1"/>
  <c r="K38" i="1"/>
  <c r="K41" i="1"/>
  <c r="K42" i="1"/>
  <c r="K44" i="1"/>
  <c r="K45" i="1"/>
  <c r="K46" i="1"/>
  <c r="K47" i="1"/>
  <c r="K48" i="1"/>
  <c r="K51" i="1"/>
  <c r="K52" i="1"/>
  <c r="K54" i="1"/>
  <c r="K55" i="1"/>
  <c r="K56" i="1"/>
  <c r="K57" i="1"/>
  <c r="K58" i="1"/>
  <c r="K61" i="1"/>
  <c r="K62" i="1"/>
  <c r="K64" i="1"/>
  <c r="K65" i="1"/>
  <c r="K66" i="1"/>
  <c r="K67" i="1"/>
  <c r="K68" i="1"/>
  <c r="K71" i="1"/>
  <c r="K72" i="1"/>
  <c r="K74" i="1"/>
  <c r="K75" i="1"/>
  <c r="K76" i="1"/>
  <c r="K77" i="1"/>
  <c r="K78" i="1"/>
  <c r="K81" i="1"/>
  <c r="K82" i="1"/>
  <c r="K84" i="1"/>
  <c r="K85" i="1"/>
  <c r="K86" i="1"/>
  <c r="K87" i="1"/>
  <c r="K88" i="1"/>
  <c r="K90" i="1"/>
  <c r="K91" i="1"/>
  <c r="K92" i="1"/>
  <c r="K94" i="1"/>
  <c r="K95" i="1"/>
  <c r="K96" i="1"/>
  <c r="K97" i="1"/>
  <c r="K98" i="1"/>
  <c r="K101" i="1"/>
  <c r="K102" i="1"/>
  <c r="K104" i="1"/>
  <c r="K105" i="1"/>
  <c r="K106" i="1"/>
  <c r="K107" i="1"/>
  <c r="K108" i="1"/>
  <c r="K111" i="1"/>
  <c r="K112" i="1"/>
  <c r="K114" i="1"/>
  <c r="K115" i="1"/>
  <c r="K116" i="1"/>
  <c r="K117" i="1"/>
  <c r="K118" i="1"/>
  <c r="K121" i="1"/>
  <c r="K122" i="1"/>
  <c r="K124" i="1"/>
  <c r="K125" i="1"/>
  <c r="K126" i="1"/>
  <c r="K127" i="1"/>
  <c r="K128" i="1"/>
  <c r="K131" i="1"/>
  <c r="K132" i="1"/>
  <c r="K134" i="1"/>
  <c r="K135" i="1"/>
  <c r="K136" i="1"/>
  <c r="K137" i="1"/>
  <c r="K138" i="1"/>
  <c r="K141" i="1"/>
  <c r="K142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4" i="1"/>
  <c r="K5" i="1"/>
  <c r="K6" i="1"/>
  <c r="K7" i="1"/>
  <c r="K8" i="1"/>
  <c r="K11" i="1"/>
  <c r="K12" i="1"/>
  <c r="K4" i="1"/>
  <c r="D142" i="1"/>
  <c r="D141" i="1"/>
  <c r="D138" i="1"/>
  <c r="D137" i="1"/>
  <c r="D136" i="1"/>
  <c r="D135" i="1"/>
  <c r="D134" i="1"/>
  <c r="D132" i="1"/>
  <c r="D131" i="1"/>
  <c r="D128" i="1"/>
  <c r="D127" i="1"/>
  <c r="D126" i="1"/>
  <c r="D125" i="1"/>
  <c r="D124" i="1"/>
  <c r="D122" i="1"/>
  <c r="D121" i="1"/>
  <c r="D118" i="1"/>
  <c r="D117" i="1"/>
  <c r="D116" i="1"/>
  <c r="D115" i="1"/>
  <c r="D114" i="1"/>
  <c r="D112" i="1"/>
  <c r="D111" i="1"/>
  <c r="D108" i="1"/>
  <c r="D107" i="1"/>
  <c r="D106" i="1"/>
  <c r="D105" i="1"/>
  <c r="D104" i="1"/>
  <c r="D102" i="1"/>
  <c r="D101" i="1"/>
  <c r="D98" i="1"/>
  <c r="D97" i="1"/>
  <c r="D96" i="1"/>
  <c r="D95" i="1"/>
  <c r="D94" i="1"/>
  <c r="D92" i="1"/>
  <c r="D91" i="1"/>
  <c r="D90" i="1"/>
  <c r="D88" i="1"/>
  <c r="D87" i="1"/>
  <c r="D86" i="1"/>
  <c r="D85" i="1"/>
  <c r="D84" i="1"/>
  <c r="D82" i="1"/>
  <c r="D81" i="1"/>
  <c r="D78" i="1"/>
  <c r="D77" i="1"/>
  <c r="D76" i="1"/>
  <c r="D75" i="1"/>
  <c r="D74" i="1"/>
  <c r="D72" i="1"/>
  <c r="D71" i="1"/>
  <c r="D68" i="1"/>
  <c r="D67" i="1"/>
  <c r="D66" i="1"/>
  <c r="D65" i="1"/>
  <c r="D64" i="1"/>
  <c r="D62" i="1"/>
  <c r="D61" i="1"/>
  <c r="D58" i="1"/>
  <c r="D57" i="1"/>
  <c r="D56" i="1"/>
  <c r="D55" i="1"/>
  <c r="D54" i="1"/>
  <c r="D52" i="1"/>
  <c r="D51" i="1"/>
  <c r="D48" i="1"/>
  <c r="D47" i="1"/>
  <c r="D46" i="1"/>
  <c r="D45" i="1"/>
  <c r="D44" i="1"/>
  <c r="D42" i="1"/>
  <c r="D41" i="1"/>
  <c r="D38" i="1"/>
  <c r="D37" i="1"/>
  <c r="D36" i="1"/>
  <c r="D35" i="1"/>
  <c r="D34" i="1"/>
  <c r="D32" i="1"/>
  <c r="D31" i="1"/>
  <c r="D28" i="1"/>
  <c r="D27" i="1"/>
  <c r="D26" i="1"/>
  <c r="D25" i="1"/>
  <c r="D24" i="1"/>
  <c r="D22" i="1"/>
  <c r="D21" i="1"/>
  <c r="D18" i="1"/>
  <c r="D17" i="1"/>
  <c r="D16" i="1"/>
  <c r="D15" i="1"/>
  <c r="D14" i="1"/>
  <c r="D12" i="1"/>
  <c r="D11" i="1"/>
  <c r="D8" i="1"/>
  <c r="D7" i="1"/>
  <c r="D6" i="1"/>
  <c r="D5" i="1"/>
  <c r="D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4" i="1"/>
  <c r="D73" i="1" l="1"/>
  <c r="B73" i="1" s="1"/>
  <c r="V18" i="1"/>
  <c r="D13" i="1"/>
  <c r="B13" i="1" s="1"/>
  <c r="N18" i="1"/>
  <c r="O12" i="1" s="1"/>
  <c r="U12" i="1" s="1"/>
  <c r="D83" i="1"/>
  <c r="B83" i="1" s="1"/>
  <c r="D23" i="1"/>
  <c r="B23" i="1" s="1"/>
  <c r="D103" i="1"/>
  <c r="B103" i="1" s="1"/>
  <c r="D33" i="1"/>
  <c r="D113" i="1"/>
  <c r="B113" i="1" s="1"/>
  <c r="D93" i="1"/>
  <c r="B93" i="1" s="1"/>
  <c r="D43" i="1"/>
  <c r="B43" i="1" s="1"/>
  <c r="D123" i="1"/>
  <c r="B123" i="1" s="1"/>
  <c r="D53" i="1"/>
  <c r="B53" i="1" s="1"/>
  <c r="D133" i="1"/>
  <c r="B133" i="1" s="1"/>
  <c r="D63" i="1"/>
  <c r="B63" i="1" s="1"/>
  <c r="D143" i="1"/>
  <c r="B143" i="1" s="1"/>
  <c r="K33" i="1" l="1"/>
  <c r="B33" i="1"/>
  <c r="O5" i="1"/>
  <c r="Q5" i="1" s="1"/>
  <c r="O13" i="1"/>
  <c r="P13" i="1" s="1"/>
  <c r="O15" i="1"/>
  <c r="R15" i="1" s="1"/>
  <c r="O16" i="1"/>
  <c r="T16" i="1" s="1"/>
  <c r="T12" i="1"/>
  <c r="R12" i="1"/>
  <c r="O6" i="1"/>
  <c r="Q6" i="1" s="1"/>
  <c r="S12" i="1"/>
  <c r="O9" i="1"/>
  <c r="Q9" i="1" s="1"/>
  <c r="O10" i="1"/>
  <c r="U10" i="1" s="1"/>
  <c r="O17" i="1"/>
  <c r="U17" i="1" s="1"/>
  <c r="P12" i="1"/>
  <c r="O8" i="1"/>
  <c r="P8" i="1" s="1"/>
  <c r="Q12" i="1"/>
  <c r="O4" i="1"/>
  <c r="P4" i="1" s="1"/>
  <c r="O11" i="1"/>
  <c r="Q11" i="1" s="1"/>
  <c r="O14" i="1"/>
  <c r="S14" i="1" s="1"/>
  <c r="O7" i="1"/>
  <c r="Q7" i="1" s="1"/>
  <c r="R5" i="1" l="1"/>
  <c r="P5" i="1"/>
  <c r="Q13" i="1"/>
  <c r="U5" i="1"/>
  <c r="T5" i="1"/>
  <c r="S5" i="1"/>
  <c r="T13" i="1"/>
  <c r="U7" i="1"/>
  <c r="S13" i="1"/>
  <c r="S16" i="1"/>
  <c r="Q16" i="1"/>
  <c r="U15" i="1"/>
  <c r="Q15" i="1"/>
  <c r="T15" i="1"/>
  <c r="R13" i="1"/>
  <c r="P15" i="1"/>
  <c r="U13" i="1"/>
  <c r="S15" i="1"/>
  <c r="P9" i="1"/>
  <c r="P16" i="1"/>
  <c r="U16" i="1"/>
  <c r="R16" i="1"/>
  <c r="R8" i="1"/>
  <c r="S7" i="1"/>
  <c r="U8" i="1"/>
  <c r="T6" i="1"/>
  <c r="R14" i="1"/>
  <c r="T8" i="1"/>
  <c r="S8" i="1"/>
  <c r="Q8" i="1"/>
  <c r="U6" i="1"/>
  <c r="P6" i="1"/>
  <c r="S6" i="1"/>
  <c r="Q4" i="1"/>
  <c r="P14" i="1"/>
  <c r="P11" i="1"/>
  <c r="R6" i="1"/>
  <c r="U4" i="1"/>
  <c r="R17" i="1"/>
  <c r="U9" i="1"/>
  <c r="S11" i="1"/>
  <c r="R4" i="1"/>
  <c r="P10" i="1"/>
  <c r="T17" i="1"/>
  <c r="T7" i="1"/>
  <c r="U11" i="1"/>
  <c r="Q17" i="1"/>
  <c r="S10" i="1"/>
  <c r="S17" i="1"/>
  <c r="P7" i="1"/>
  <c r="T11" i="1"/>
  <c r="T4" i="1"/>
  <c r="T9" i="1"/>
  <c r="R7" i="1"/>
  <c r="S9" i="1"/>
  <c r="U14" i="1"/>
  <c r="R10" i="1"/>
  <c r="R9" i="1"/>
  <c r="T14" i="1"/>
  <c r="R11" i="1"/>
  <c r="S4" i="1"/>
  <c r="O18" i="1"/>
  <c r="Q18" i="1" s="1"/>
  <c r="T10" i="1"/>
  <c r="P17" i="1"/>
  <c r="Q14" i="1"/>
  <c r="Q10" i="1"/>
  <c r="R18" i="1" l="1"/>
  <c r="P18" i="1"/>
  <c r="S18" i="1"/>
  <c r="U18" i="1"/>
  <c r="T18" i="1"/>
  <c r="F4" i="1" l="1"/>
  <c r="J4" i="1"/>
  <c r="I4" i="1"/>
  <c r="H4" i="1"/>
  <c r="E4" i="1"/>
  <c r="G4" i="1"/>
  <c r="G134" i="1"/>
  <c r="F44" i="1"/>
  <c r="I74" i="1"/>
  <c r="F134" i="1"/>
  <c r="H54" i="1"/>
  <c r="E134" i="1"/>
  <c r="E24" i="1"/>
  <c r="G64" i="1"/>
  <c r="G74" i="1"/>
  <c r="F64" i="1"/>
  <c r="H74" i="1"/>
  <c r="I24" i="1"/>
  <c r="J104" i="1"/>
  <c r="I34" i="1"/>
  <c r="G34" i="1"/>
  <c r="E74" i="1"/>
  <c r="G124" i="1"/>
  <c r="H64" i="1"/>
  <c r="G24" i="1"/>
  <c r="I44" i="1"/>
  <c r="H24" i="1"/>
  <c r="G54" i="1"/>
  <c r="G104" i="1"/>
  <c r="H34" i="1"/>
  <c r="J74" i="1"/>
  <c r="E64" i="1"/>
  <c r="J54" i="1"/>
  <c r="E104" i="1"/>
  <c r="G44" i="1"/>
  <c r="I104" i="1"/>
  <c r="H44" i="1"/>
  <c r="I134" i="1"/>
  <c r="H134" i="1"/>
  <c r="F104" i="1"/>
  <c r="E34" i="1"/>
  <c r="I54" i="1"/>
  <c r="I64" i="1"/>
  <c r="J24" i="1"/>
  <c r="J44" i="1"/>
  <c r="J124" i="1"/>
  <c r="H84" i="1"/>
  <c r="F34" i="1"/>
  <c r="H104" i="1"/>
  <c r="H14" i="1"/>
  <c r="H114" i="1"/>
  <c r="F94" i="1"/>
  <c r="F114" i="1"/>
  <c r="J14" i="1"/>
  <c r="J34" i="1"/>
  <c r="H94" i="1"/>
  <c r="F14" i="1"/>
  <c r="E44" i="1"/>
  <c r="G14" i="1"/>
  <c r="F54" i="1"/>
  <c r="I84" i="1"/>
  <c r="G94" i="1"/>
  <c r="I14" i="1"/>
  <c r="J94" i="1"/>
  <c r="I94" i="1"/>
  <c r="I114" i="1"/>
  <c r="H124" i="1"/>
  <c r="F24" i="1"/>
  <c r="F124" i="1"/>
  <c r="G114" i="1"/>
  <c r="F74" i="1"/>
  <c r="E94" i="1"/>
  <c r="E54" i="1"/>
  <c r="G84" i="1"/>
  <c r="E124" i="1"/>
  <c r="E84" i="1"/>
  <c r="J114" i="1"/>
  <c r="E14" i="1"/>
  <c r="J64" i="1"/>
  <c r="E114" i="1"/>
  <c r="J134" i="1"/>
  <c r="I124" i="1"/>
  <c r="F84" i="1"/>
  <c r="J84" i="1"/>
  <c r="I138" i="1"/>
  <c r="J106" i="1"/>
  <c r="G66" i="1"/>
  <c r="E111" i="1"/>
  <c r="F51" i="1"/>
  <c r="F8" i="1"/>
  <c r="I135" i="1"/>
  <c r="I109" i="1"/>
  <c r="E70" i="1"/>
  <c r="G135" i="1"/>
  <c r="F52" i="1"/>
  <c r="E35" i="1"/>
  <c r="H11" i="1"/>
  <c r="I36" i="1"/>
  <c r="E77" i="1"/>
  <c r="G28" i="1"/>
  <c r="I45" i="1"/>
  <c r="F140" i="1"/>
  <c r="F107" i="1"/>
  <c r="F66" i="1"/>
  <c r="E139" i="1"/>
  <c r="I42" i="1"/>
  <c r="E71" i="1"/>
  <c r="J11" i="1"/>
  <c r="H37" i="1"/>
  <c r="G125" i="1"/>
  <c r="F135" i="1"/>
  <c r="E38" i="1"/>
  <c r="I75" i="1"/>
  <c r="F72" i="1"/>
  <c r="H6" i="1"/>
  <c r="G38" i="1"/>
  <c r="G80" i="1"/>
  <c r="H136" i="1"/>
  <c r="G10" i="1"/>
  <c r="G31" i="1"/>
  <c r="E27" i="1"/>
  <c r="E31" i="1"/>
  <c r="I48" i="1"/>
  <c r="G108" i="1"/>
  <c r="H75" i="1"/>
  <c r="G128" i="1"/>
  <c r="G56" i="1"/>
  <c r="H72" i="1"/>
  <c r="G142" i="1"/>
  <c r="J125" i="1"/>
  <c r="H61" i="1"/>
  <c r="E135" i="1"/>
  <c r="G7" i="1"/>
  <c r="F12" i="1"/>
  <c r="G49" i="1"/>
  <c r="G55" i="1"/>
  <c r="H70" i="1"/>
  <c r="G68" i="1"/>
  <c r="G6" i="1"/>
  <c r="J25" i="1"/>
  <c r="E109" i="1"/>
  <c r="G51" i="1"/>
  <c r="E40" i="1"/>
  <c r="I80" i="1"/>
  <c r="H8" i="1"/>
  <c r="I106" i="1"/>
  <c r="G107" i="1"/>
  <c r="F137" i="1"/>
  <c r="E39" i="1"/>
  <c r="I79" i="1"/>
  <c r="I66" i="1"/>
  <c r="G41" i="1"/>
  <c r="I62" i="1"/>
  <c r="G75" i="1"/>
  <c r="H142" i="1"/>
  <c r="E79" i="1"/>
  <c r="J46" i="1"/>
  <c r="J50" i="1"/>
  <c r="G126" i="1"/>
  <c r="G112" i="1"/>
  <c r="H58" i="1"/>
  <c r="J82" i="1"/>
  <c r="I9" i="1"/>
  <c r="H79" i="1"/>
  <c r="J60" i="1"/>
  <c r="G60" i="1"/>
  <c r="H67" i="1"/>
  <c r="G71" i="1"/>
  <c r="G9" i="1"/>
  <c r="H50" i="1"/>
  <c r="G46" i="1"/>
  <c r="F112" i="1"/>
  <c r="E136" i="1"/>
  <c r="I111" i="1"/>
  <c r="E72" i="1"/>
  <c r="H26" i="1"/>
  <c r="I136" i="1"/>
  <c r="H60" i="1"/>
  <c r="J109" i="1"/>
  <c r="F67" i="1"/>
  <c r="I72" i="1"/>
  <c r="I10" i="1"/>
  <c r="G40" i="1"/>
  <c r="I57" i="1"/>
  <c r="G76" i="1"/>
  <c r="H140" i="1"/>
  <c r="H82" i="1"/>
  <c r="E105" i="1"/>
  <c r="J55" i="1"/>
  <c r="E26" i="1"/>
  <c r="J9" i="1"/>
  <c r="I28" i="1"/>
  <c r="I142" i="1"/>
  <c r="H55" i="1"/>
  <c r="J111" i="1"/>
  <c r="J75" i="1"/>
  <c r="I67" i="1"/>
  <c r="I5" i="1"/>
  <c r="I59" i="1"/>
  <c r="G79" i="1"/>
  <c r="J5" i="1"/>
  <c r="E112" i="1"/>
  <c r="E28" i="1"/>
  <c r="G140" i="1"/>
  <c r="E81" i="1"/>
  <c r="G50" i="1"/>
  <c r="H28" i="1"/>
  <c r="G129" i="1"/>
  <c r="G45" i="1"/>
  <c r="F136" i="1"/>
  <c r="H69" i="1"/>
  <c r="J77" i="1"/>
  <c r="I112" i="1"/>
  <c r="E65" i="1"/>
  <c r="E80" i="1"/>
  <c r="F47" i="1"/>
  <c r="E75" i="1"/>
  <c r="E41" i="1"/>
  <c r="J79" i="1"/>
  <c r="J80" i="1"/>
  <c r="E137" i="1"/>
  <c r="G37" i="1"/>
  <c r="I38" i="1"/>
  <c r="I40" i="1"/>
  <c r="I58" i="1"/>
  <c r="G72" i="1"/>
  <c r="E67" i="1"/>
  <c r="E66" i="1"/>
  <c r="J57" i="1"/>
  <c r="G8" i="1"/>
  <c r="J56" i="1"/>
  <c r="E78" i="1"/>
  <c r="I46" i="1"/>
  <c r="H47" i="1"/>
  <c r="I47" i="1"/>
  <c r="F48" i="1"/>
  <c r="F11" i="1"/>
  <c r="G109" i="1"/>
  <c r="J45" i="1"/>
  <c r="H42" i="1"/>
  <c r="H81" i="1"/>
  <c r="F50" i="1"/>
  <c r="G132" i="1"/>
  <c r="I27" i="1"/>
  <c r="J131" i="1"/>
  <c r="H80" i="1"/>
  <c r="H49" i="1"/>
  <c r="G137" i="1"/>
  <c r="I139" i="1"/>
  <c r="H65" i="1"/>
  <c r="H9" i="1"/>
  <c r="G35" i="1"/>
  <c r="H135" i="1"/>
  <c r="F7" i="1"/>
  <c r="F49" i="1"/>
  <c r="E108" i="1"/>
  <c r="F6" i="1"/>
  <c r="J130" i="1"/>
  <c r="F141" i="1"/>
  <c r="I141" i="1"/>
  <c r="F108" i="1"/>
  <c r="F109" i="1"/>
  <c r="H71" i="1"/>
  <c r="I76" i="1"/>
  <c r="I77" i="1"/>
  <c r="J107" i="1"/>
  <c r="F70" i="1"/>
  <c r="J81" i="1"/>
  <c r="H7" i="1"/>
  <c r="I70" i="1"/>
  <c r="E140" i="1"/>
  <c r="I11" i="1"/>
  <c r="I7" i="1"/>
  <c r="I107" i="1"/>
  <c r="G36" i="1"/>
  <c r="I35" i="1"/>
  <c r="I61" i="1"/>
  <c r="G77" i="1"/>
  <c r="E68" i="1"/>
  <c r="H138" i="1"/>
  <c r="H137" i="1"/>
  <c r="H78" i="1"/>
  <c r="G139" i="1"/>
  <c r="E106" i="1"/>
  <c r="G25" i="1"/>
  <c r="H46" i="1"/>
  <c r="J10" i="1"/>
  <c r="G136" i="1"/>
  <c r="J27" i="1"/>
  <c r="I51" i="1"/>
  <c r="G47" i="1"/>
  <c r="H27" i="1"/>
  <c r="J49" i="1"/>
  <c r="I25" i="1"/>
  <c r="I31" i="1"/>
  <c r="G130" i="1"/>
  <c r="H40" i="1"/>
  <c r="H48" i="1"/>
  <c r="I49" i="1"/>
  <c r="G26" i="1"/>
  <c r="J126" i="1"/>
  <c r="G62" i="1"/>
  <c r="H62" i="1"/>
  <c r="I82" i="1"/>
  <c r="F71" i="1"/>
  <c r="E142" i="1"/>
  <c r="I12" i="1"/>
  <c r="G65" i="1"/>
  <c r="J61" i="1"/>
  <c r="G138" i="1"/>
  <c r="J7" i="1"/>
  <c r="J28" i="1"/>
  <c r="H38" i="1"/>
  <c r="H36" i="1"/>
  <c r="F10" i="1"/>
  <c r="J51" i="1"/>
  <c r="H41" i="1"/>
  <c r="F139" i="1"/>
  <c r="H57" i="1"/>
  <c r="H68" i="1"/>
  <c r="F68" i="1"/>
  <c r="H12" i="1"/>
  <c r="G59" i="1"/>
  <c r="H59" i="1"/>
  <c r="F142" i="1"/>
  <c r="I137" i="1"/>
  <c r="E42" i="1"/>
  <c r="F110" i="1"/>
  <c r="H66" i="1"/>
  <c r="I81" i="1"/>
  <c r="J110" i="1"/>
  <c r="F65" i="1"/>
  <c r="J76" i="1"/>
  <c r="H5" i="1"/>
  <c r="I65" i="1"/>
  <c r="E138" i="1"/>
  <c r="I6" i="1"/>
  <c r="I105" i="1"/>
  <c r="I110" i="1"/>
  <c r="G39" i="1"/>
  <c r="I39" i="1"/>
  <c r="I55" i="1"/>
  <c r="I56" i="1"/>
  <c r="G67" i="1"/>
  <c r="G78" i="1"/>
  <c r="H139" i="1"/>
  <c r="G141" i="1"/>
  <c r="H77" i="1"/>
  <c r="J59" i="1"/>
  <c r="G12" i="1"/>
  <c r="F9" i="1"/>
  <c r="E110" i="1"/>
  <c r="J58" i="1"/>
  <c r="H51" i="1"/>
  <c r="J31" i="1"/>
  <c r="E76" i="1"/>
  <c r="G106" i="1"/>
  <c r="J48" i="1"/>
  <c r="G52" i="1"/>
  <c r="H35" i="1"/>
  <c r="G131" i="1"/>
  <c r="J129" i="1"/>
  <c r="I26" i="1"/>
  <c r="J127" i="1"/>
  <c r="J47" i="1"/>
  <c r="G58" i="1"/>
  <c r="F111" i="1"/>
  <c r="I69" i="1"/>
  <c r="I37" i="1"/>
  <c r="G82" i="1"/>
  <c r="G5" i="1"/>
  <c r="F46" i="1"/>
  <c r="H52" i="1"/>
  <c r="H25" i="1"/>
  <c r="G57" i="1"/>
  <c r="F106" i="1"/>
  <c r="J108" i="1"/>
  <c r="E37" i="1"/>
  <c r="G61" i="1"/>
  <c r="F138" i="1"/>
  <c r="I140" i="1"/>
  <c r="E36" i="1"/>
  <c r="H56" i="1"/>
  <c r="F105" i="1"/>
  <c r="I78" i="1"/>
  <c r="J112" i="1"/>
  <c r="J105" i="1"/>
  <c r="F69" i="1"/>
  <c r="J78" i="1"/>
  <c r="H10" i="1"/>
  <c r="I71" i="1"/>
  <c r="I68" i="1"/>
  <c r="E141" i="1"/>
  <c r="I8" i="1"/>
  <c r="I108" i="1"/>
  <c r="G42" i="1"/>
  <c r="I41" i="1"/>
  <c r="I60" i="1"/>
  <c r="G69" i="1"/>
  <c r="G70" i="1"/>
  <c r="G81" i="1"/>
  <c r="E69" i="1"/>
  <c r="H141" i="1"/>
  <c r="J12" i="1"/>
  <c r="J62" i="1"/>
  <c r="H76" i="1"/>
  <c r="E82" i="1"/>
  <c r="G27" i="1"/>
  <c r="J26" i="1"/>
  <c r="E25" i="1"/>
  <c r="J8" i="1"/>
  <c r="E107" i="1"/>
  <c r="I50" i="1"/>
  <c r="H45" i="1"/>
  <c r="I52" i="1"/>
  <c r="H39" i="1"/>
  <c r="J52" i="1"/>
  <c r="H31" i="1"/>
  <c r="G127" i="1"/>
  <c r="F5" i="1"/>
  <c r="G11" i="1"/>
  <c r="J128" i="1"/>
  <c r="F45" i="1"/>
  <c r="H16" i="1"/>
  <c r="H85" i="1"/>
  <c r="G117" i="1"/>
  <c r="H96" i="1"/>
  <c r="F22" i="1"/>
  <c r="H86" i="1"/>
  <c r="G118" i="1"/>
  <c r="H98" i="1"/>
  <c r="E102" i="1"/>
  <c r="F122" i="1"/>
  <c r="G121" i="1"/>
  <c r="F55" i="1"/>
  <c r="E91" i="1"/>
  <c r="I126" i="1"/>
  <c r="F121" i="1"/>
  <c r="E117" i="1"/>
  <c r="F38" i="1"/>
  <c r="I90" i="1"/>
  <c r="J117" i="1"/>
  <c r="H131" i="1"/>
  <c r="I125" i="1"/>
  <c r="I96" i="1"/>
  <c r="G22" i="1"/>
  <c r="I119" i="1"/>
  <c r="H119" i="1"/>
  <c r="J20" i="1"/>
  <c r="F36" i="1"/>
  <c r="E6" i="1"/>
  <c r="F19" i="1"/>
  <c r="H109" i="1"/>
  <c r="H112" i="1"/>
  <c r="E98" i="1"/>
  <c r="G105" i="1"/>
  <c r="I118" i="1"/>
  <c r="E92" i="1"/>
  <c r="J115" i="1"/>
  <c r="H20" i="1"/>
  <c r="I99" i="1"/>
  <c r="F102" i="1"/>
  <c r="G17" i="1"/>
  <c r="E52" i="1"/>
  <c r="J97" i="1"/>
  <c r="H121" i="1"/>
  <c r="J18" i="1"/>
  <c r="F39" i="1"/>
  <c r="E9" i="1"/>
  <c r="F127" i="1"/>
  <c r="F25" i="1"/>
  <c r="F90" i="1"/>
  <c r="E99" i="1"/>
  <c r="F85" i="1"/>
  <c r="H127" i="1"/>
  <c r="G96" i="1"/>
  <c r="H129" i="1"/>
  <c r="F132" i="1"/>
  <c r="J116" i="1"/>
  <c r="H15" i="1"/>
  <c r="I22" i="1"/>
  <c r="E15" i="1"/>
  <c r="E47" i="1"/>
  <c r="J96" i="1"/>
  <c r="H116" i="1"/>
  <c r="F80" i="1"/>
  <c r="G92" i="1"/>
  <c r="E55" i="1"/>
  <c r="E126" i="1"/>
  <c r="F58" i="1"/>
  <c r="G87" i="1"/>
  <c r="E58" i="1"/>
  <c r="G101" i="1"/>
  <c r="F62" i="1"/>
  <c r="E85" i="1"/>
  <c r="G111" i="1"/>
  <c r="E122" i="1"/>
  <c r="J66" i="1"/>
  <c r="H22" i="1"/>
  <c r="I17" i="1"/>
  <c r="E17" i="1"/>
  <c r="H90" i="1"/>
  <c r="J41" i="1"/>
  <c r="E48" i="1"/>
  <c r="E132" i="1"/>
  <c r="F75" i="1"/>
  <c r="J135" i="1"/>
  <c r="I128" i="1"/>
  <c r="G110" i="1"/>
  <c r="I100" i="1"/>
  <c r="E16" i="1"/>
  <c r="G89" i="1"/>
  <c r="F100" i="1"/>
  <c r="F97" i="1"/>
  <c r="F116" i="1"/>
  <c r="G19" i="1"/>
  <c r="H92" i="1"/>
  <c r="J36" i="1"/>
  <c r="E61" i="1"/>
  <c r="I120" i="1"/>
  <c r="E46" i="1"/>
  <c r="F91" i="1"/>
  <c r="F88" i="1"/>
  <c r="J99" i="1"/>
  <c r="G116" i="1"/>
  <c r="E127" i="1"/>
  <c r="G98" i="1"/>
  <c r="G48" i="1"/>
  <c r="H97" i="1"/>
  <c r="E118" i="1"/>
  <c r="J17" i="1"/>
  <c r="F77" i="1"/>
  <c r="F59" i="1"/>
  <c r="F40" i="1"/>
  <c r="J142" i="1"/>
  <c r="J138" i="1"/>
  <c r="J65" i="1"/>
  <c r="E7" i="1"/>
  <c r="E88" i="1"/>
  <c r="F126" i="1"/>
  <c r="F130" i="1"/>
  <c r="E100" i="1"/>
  <c r="J119" i="1"/>
  <c r="F17" i="1"/>
  <c r="H126" i="1"/>
  <c r="H17" i="1"/>
  <c r="I132" i="1"/>
  <c r="I131" i="1"/>
  <c r="I21" i="1"/>
  <c r="I95" i="1"/>
  <c r="E18" i="1"/>
  <c r="F95" i="1"/>
  <c r="F27" i="1"/>
  <c r="F120" i="1"/>
  <c r="H89" i="1"/>
  <c r="J6" i="1"/>
  <c r="J38" i="1"/>
  <c r="E59" i="1"/>
  <c r="I115" i="1"/>
  <c r="E49" i="1"/>
  <c r="K49" i="1" s="1"/>
  <c r="F86" i="1"/>
  <c r="E128" i="1"/>
  <c r="G95" i="1"/>
  <c r="H122" i="1"/>
  <c r="H100" i="1"/>
  <c r="E119" i="1"/>
  <c r="J16" i="1"/>
  <c r="F79" i="1"/>
  <c r="F35" i="1"/>
  <c r="J140" i="1"/>
  <c r="H108" i="1"/>
  <c r="H107" i="1"/>
  <c r="J68" i="1"/>
  <c r="I89" i="1"/>
  <c r="I88" i="1"/>
  <c r="E90" i="1"/>
  <c r="E101" i="1"/>
  <c r="I16" i="1"/>
  <c r="I98" i="1"/>
  <c r="F115" i="1"/>
  <c r="J37" i="1"/>
  <c r="E51" i="1"/>
  <c r="G120" i="1"/>
  <c r="H117" i="1"/>
  <c r="J19" i="1"/>
  <c r="F37" i="1"/>
  <c r="H105" i="1"/>
  <c r="I92" i="1"/>
  <c r="E86" i="1"/>
  <c r="F125" i="1"/>
  <c r="E96" i="1"/>
  <c r="J121" i="1"/>
  <c r="F15" i="1"/>
  <c r="H130" i="1"/>
  <c r="I127" i="1"/>
  <c r="I18" i="1"/>
  <c r="I19" i="1"/>
  <c r="I97" i="1"/>
  <c r="E22" i="1"/>
  <c r="E21" i="1"/>
  <c r="G88" i="1"/>
  <c r="F96" i="1"/>
  <c r="F31" i="1"/>
  <c r="F117" i="1"/>
  <c r="F118" i="1"/>
  <c r="G18" i="1"/>
  <c r="H87" i="1"/>
  <c r="J40" i="1"/>
  <c r="E62" i="1"/>
  <c r="I117" i="1"/>
  <c r="E50" i="1"/>
  <c r="J95" i="1"/>
  <c r="G119" i="1"/>
  <c r="E131" i="1"/>
  <c r="H120" i="1"/>
  <c r="H102" i="1"/>
  <c r="E121" i="1"/>
  <c r="J22" i="1"/>
  <c r="F78" i="1"/>
  <c r="F56" i="1"/>
  <c r="F42" i="1"/>
  <c r="J141" i="1"/>
  <c r="H110" i="1"/>
  <c r="J67" i="1"/>
  <c r="E11" i="1"/>
  <c r="E12" i="1"/>
  <c r="I86" i="1"/>
  <c r="F20" i="1"/>
  <c r="I130" i="1"/>
  <c r="E20" i="1"/>
  <c r="F101" i="1"/>
  <c r="G15" i="1"/>
  <c r="F89" i="1"/>
  <c r="E129" i="1"/>
  <c r="E120" i="1"/>
  <c r="F61" i="1"/>
  <c r="J71" i="1"/>
  <c r="E87" i="1"/>
  <c r="F128" i="1"/>
  <c r="E95" i="1"/>
  <c r="J118" i="1"/>
  <c r="F16" i="1"/>
  <c r="F18" i="1"/>
  <c r="H125" i="1"/>
  <c r="H18" i="1"/>
  <c r="I129" i="1"/>
  <c r="I20" i="1"/>
  <c r="G86" i="1"/>
  <c r="G91" i="1"/>
  <c r="F98" i="1"/>
  <c r="F26" i="1"/>
  <c r="F119" i="1"/>
  <c r="G16" i="1"/>
  <c r="G21" i="1"/>
  <c r="H88" i="1"/>
  <c r="J42" i="1"/>
  <c r="J35" i="1"/>
  <c r="E56" i="1"/>
  <c r="I121" i="1"/>
  <c r="F92" i="1"/>
  <c r="J132" i="1"/>
  <c r="J98" i="1"/>
  <c r="G122" i="1"/>
  <c r="E130" i="1"/>
  <c r="G97" i="1"/>
  <c r="H115" i="1"/>
  <c r="H99" i="1"/>
  <c r="E115" i="1"/>
  <c r="J15" i="1"/>
  <c r="F81" i="1"/>
  <c r="F57" i="1"/>
  <c r="J137" i="1"/>
  <c r="H111" i="1"/>
  <c r="J72" i="1"/>
  <c r="E10" i="1"/>
  <c r="I87" i="1"/>
  <c r="F131" i="1"/>
  <c r="J122" i="1"/>
  <c r="H19" i="1"/>
  <c r="I102" i="1"/>
  <c r="G85" i="1"/>
  <c r="I122" i="1"/>
  <c r="J100" i="1"/>
  <c r="G102" i="1"/>
  <c r="H95" i="1"/>
  <c r="J136" i="1"/>
  <c r="J70" i="1"/>
  <c r="E5" i="1"/>
  <c r="E89" i="1"/>
  <c r="F129" i="1"/>
  <c r="E97" i="1"/>
  <c r="J120" i="1"/>
  <c r="F21" i="1"/>
  <c r="H132" i="1"/>
  <c r="H128" i="1"/>
  <c r="H21" i="1"/>
  <c r="I15" i="1"/>
  <c r="I101" i="1"/>
  <c r="E19" i="1"/>
  <c r="K19" i="1" s="1"/>
  <c r="G90" i="1"/>
  <c r="F99" i="1"/>
  <c r="F28" i="1"/>
  <c r="G20" i="1"/>
  <c r="H91" i="1"/>
  <c r="J39" i="1"/>
  <c r="E60" i="1"/>
  <c r="E57" i="1"/>
  <c r="I116" i="1"/>
  <c r="E45" i="1"/>
  <c r="F87" i="1"/>
  <c r="J102" i="1"/>
  <c r="J101" i="1"/>
  <c r="G115" i="1"/>
  <c r="E125" i="1"/>
  <c r="G99" i="1"/>
  <c r="G100" i="1"/>
  <c r="H118" i="1"/>
  <c r="H101" i="1"/>
  <c r="E116" i="1"/>
  <c r="J21" i="1"/>
  <c r="F82" i="1"/>
  <c r="F76" i="1"/>
  <c r="F60" i="1"/>
  <c r="F41" i="1"/>
  <c r="J139" i="1"/>
  <c r="H106" i="1"/>
  <c r="J69" i="1"/>
  <c r="E8" i="1"/>
  <c r="I85" i="1"/>
  <c r="I91" i="1"/>
  <c r="J89" i="1"/>
  <c r="J92" i="1"/>
  <c r="J88" i="1"/>
  <c r="J91" i="1"/>
  <c r="J87" i="1"/>
  <c r="J90" i="1"/>
  <c r="J85" i="1"/>
  <c r="J86" i="1"/>
  <c r="K20" i="1" l="1"/>
  <c r="K60" i="1"/>
  <c r="K110" i="1"/>
  <c r="K140" i="1"/>
  <c r="K139" i="1"/>
  <c r="K130" i="1"/>
  <c r="K129" i="1"/>
  <c r="K120" i="1"/>
  <c r="K119" i="1"/>
  <c r="K109" i="1"/>
  <c r="K100" i="1"/>
  <c r="K99" i="1"/>
  <c r="K89" i="1"/>
  <c r="K80" i="1"/>
  <c r="K79" i="1"/>
  <c r="K70" i="1"/>
  <c r="K69" i="1"/>
  <c r="K59" i="1"/>
  <c r="K50" i="1"/>
  <c r="K40" i="1"/>
  <c r="K39" i="1"/>
  <c r="K10" i="1"/>
  <c r="K9" i="1"/>
  <c r="J123" i="1"/>
  <c r="J93" i="1"/>
  <c r="J53" i="1"/>
  <c r="J63" i="1"/>
  <c r="J33" i="1"/>
  <c r="I43" i="1"/>
  <c r="E93" i="1"/>
  <c r="F63" i="1"/>
  <c r="F103" i="1"/>
  <c r="J13" i="1"/>
  <c r="J103" i="1"/>
  <c r="I83" i="1"/>
  <c r="I73" i="1"/>
  <c r="J113" i="1"/>
  <c r="I13" i="1"/>
  <c r="I133" i="1"/>
  <c r="I123" i="1"/>
  <c r="H23" i="1"/>
  <c r="I63" i="1"/>
  <c r="I53" i="1"/>
  <c r="I33" i="1"/>
  <c r="F23" i="1"/>
  <c r="F43" i="1"/>
  <c r="F53" i="1"/>
  <c r="I93" i="1"/>
  <c r="J143" i="1"/>
  <c r="I103" i="1"/>
  <c r="I113" i="1"/>
  <c r="J73" i="1"/>
  <c r="I23" i="1"/>
  <c r="J43" i="1"/>
  <c r="J83" i="1"/>
  <c r="E103" i="1"/>
  <c r="F113" i="1"/>
  <c r="J23" i="1"/>
  <c r="J133" i="1"/>
  <c r="I143" i="1"/>
  <c r="F83" i="1"/>
  <c r="H113" i="1"/>
  <c r="G53" i="1"/>
  <c r="H33" i="1"/>
  <c r="H63" i="1"/>
  <c r="H13" i="1"/>
  <c r="G63" i="1"/>
  <c r="G123" i="1"/>
  <c r="G103" i="1"/>
  <c r="E43" i="1"/>
  <c r="E113" i="1"/>
  <c r="F143" i="1"/>
  <c r="E23" i="1"/>
  <c r="H103" i="1"/>
  <c r="F33" i="1"/>
  <c r="E123" i="1"/>
  <c r="F93" i="1"/>
  <c r="F133" i="1"/>
  <c r="G33" i="1"/>
  <c r="H83" i="1"/>
  <c r="H73" i="1"/>
  <c r="E133" i="1"/>
  <c r="F123" i="1"/>
  <c r="H93" i="1"/>
  <c r="F13" i="1"/>
  <c r="G13" i="1"/>
  <c r="E73" i="1"/>
  <c r="G93" i="1"/>
  <c r="H133" i="1"/>
  <c r="H143" i="1"/>
  <c r="G133" i="1"/>
  <c r="G83" i="1"/>
  <c r="E13" i="1"/>
  <c r="F73" i="1"/>
  <c r="E143" i="1"/>
  <c r="E63" i="1"/>
  <c r="G23" i="1"/>
  <c r="H43" i="1"/>
  <c r="E83" i="1"/>
  <c r="G73" i="1"/>
  <c r="G143" i="1"/>
  <c r="E53" i="1"/>
  <c r="H123" i="1"/>
  <c r="H53" i="1"/>
  <c r="G113" i="1"/>
  <c r="G43" i="1"/>
  <c r="E33" i="1"/>
  <c r="K133" i="1" l="1"/>
  <c r="K123" i="1"/>
  <c r="K113" i="1"/>
  <c r="K103" i="1"/>
  <c r="K93" i="1"/>
  <c r="K83" i="1"/>
  <c r="K73" i="1"/>
  <c r="K63" i="1"/>
  <c r="K53" i="1"/>
  <c r="K43" i="1"/>
  <c r="K23" i="1"/>
  <c r="K13" i="1"/>
  <c r="J2" i="1"/>
  <c r="H2" i="1"/>
  <c r="E2" i="1"/>
  <c r="G2" i="1"/>
  <c r="I2" i="1"/>
  <c r="F2" i="1"/>
</calcChain>
</file>

<file path=xl/sharedStrings.xml><?xml version="1.0" encoding="utf-8"?>
<sst xmlns="http://schemas.openxmlformats.org/spreadsheetml/2006/main" count="266" uniqueCount="23">
  <si>
    <t>Village</t>
  </si>
  <si>
    <t>ALIMENT COMPLET</t>
  </si>
  <si>
    <t>INGREDIENTS</t>
  </si>
  <si>
    <t>COMPLEMENT ALIMENTAIRE</t>
  </si>
  <si>
    <t>MATERIEL ELEVAGE</t>
  </si>
  <si>
    <t>PREMIX</t>
  </si>
  <si>
    <t>CONCENTRES</t>
  </si>
  <si>
    <t>TOURTEAUX</t>
  </si>
  <si>
    <t>ALVEOLE</t>
  </si>
  <si>
    <t>DIVERS</t>
  </si>
  <si>
    <t>PK11</t>
  </si>
  <si>
    <t>Ndobo</t>
  </si>
  <si>
    <t>Buea</t>
  </si>
  <si>
    <t>Nkongsamba</t>
  </si>
  <si>
    <t>Ahala</t>
  </si>
  <si>
    <t>Messassi</t>
  </si>
  <si>
    <t>Nkoabang</t>
  </si>
  <si>
    <t>Nkolbisson</t>
  </si>
  <si>
    <t>Ngaoundere</t>
  </si>
  <si>
    <t>Bertoua</t>
  </si>
  <si>
    <t>Mbouda</t>
  </si>
  <si>
    <t>Famla</t>
  </si>
  <si>
    <t>Djeleng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</si>
</sst>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* #,##0.0_-;\-* #,##0.0_-;_-* &quot;-&quot;_-;_-@_-"/>
    <numFmt numFmtId="166" formatCode="[$-40C]mmm\-yy;@"/>
    <numFmt numFmtId="167" formatCode="_-* #,##0.0\ _€_-;\-* #,##0.0\ _€_-;_-* &quot;-&quot;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5" fontId="2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/>
    <xf numFmtId="167" fontId="0" fillId="0" borderId="0" xfId="0" applyNumberFormat="1"/>
    <xf numFmtId="166" fontId="2" fillId="0" borderId="1" xfId="0" applyNumberFormat="1" applyFont="1" applyBorder="1"/>
    <xf numFmtId="165" fontId="0" fillId="0" borderId="2" xfId="0" applyNumberFormat="1" applyBorder="1"/>
    <xf numFmtId="165" fontId="2" fillId="0" borderId="1" xfId="0" applyNumberFormat="1" applyFont="1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166" fontId="2" fillId="0" borderId="0" xfId="0" applyNumberFormat="1" applyFont="1" applyBorder="1"/>
    <xf numFmtId="165" fontId="2" fillId="0" borderId="0" xfId="0" applyNumberFormat="1" applyFont="1" applyBorder="1"/>
    <xf numFmtId="165" fontId="2" fillId="2" borderId="4" xfId="0" applyNumberFormat="1" applyFont="1" applyFill="1" applyBorder="1"/>
    <xf numFmtId="165" fontId="2" fillId="2" borderId="2" xfId="0" applyNumberFormat="1" applyFont="1" applyFill="1" applyBorder="1"/>
    <xf numFmtId="165" fontId="2" fillId="2" borderId="3" xfId="0" applyNumberFormat="1" applyFont="1" applyFill="1" applyBorder="1"/>
    <xf numFmtId="165" fontId="2" fillId="2" borderId="1" xfId="0" applyNumberFormat="1" applyFont="1" applyFill="1" applyBorder="1"/>
    <xf numFmtId="164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5A9C-2B47-4DC7-8591-1DAC4496E48B}">
  <dimension ref="A1:V143"/>
  <sheetViews>
    <sheetView showGridLines="0" tabSelected="1" workbookViewId="0">
      <selection activeCell="X1" sqref="X1:X1048576"/>
    </sheetView>
  </sheetViews>
  <sheetFormatPr baseColWidth="10" defaultRowHeight="15" x14ac:dyDescent="0.25"/>
  <cols>
    <col min="1" max="1" width="12.42578125" bestFit="1" customWidth="1"/>
    <col min="2" max="2" width="26" bestFit="1" customWidth="1"/>
    <col min="3" max="3" width="10" hidden="1" customWidth="1"/>
    <col min="4" max="4" width="12" hidden="1" customWidth="1"/>
    <col min="5" max="10" width="8.42578125" bestFit="1" customWidth="1"/>
    <col min="11" max="11" width="9.42578125" bestFit="1" customWidth="1"/>
    <col min="13" max="13" width="12.42578125" customWidth="1"/>
    <col min="14" max="15" width="11.42578125" hidden="1" customWidth="1"/>
    <col min="16" max="22" width="11.42578125" customWidth="1"/>
  </cols>
  <sheetData>
    <row r="1" spans="1:22" x14ac:dyDescent="0.25">
      <c r="E1" s="6"/>
      <c r="F1" s="6"/>
      <c r="G1" s="6"/>
      <c r="H1" s="6"/>
      <c r="I1" s="6"/>
      <c r="J1" s="6"/>
      <c r="K1" s="6"/>
    </row>
    <row r="2" spans="1:22" x14ac:dyDescent="0.25">
      <c r="E2">
        <f>SUMIFS(E4:E143,$D$4:$D$143,1)</f>
        <v>5924.0000000000018</v>
      </c>
      <c r="F2">
        <f t="shared" ref="F2:J2" si="0">SUMIFS(F4:F143,$D$4:$D$143,1)</f>
        <v>5301.0000000000009</v>
      </c>
      <c r="G2">
        <f t="shared" si="0"/>
        <v>5531.0000000000009</v>
      </c>
      <c r="H2">
        <f t="shared" si="0"/>
        <v>7228.0000000000018</v>
      </c>
      <c r="I2">
        <f t="shared" si="0"/>
        <v>7335.0000000000018</v>
      </c>
      <c r="J2">
        <f t="shared" si="0"/>
        <v>8920.0000000000036</v>
      </c>
      <c r="P2">
        <v>5924</v>
      </c>
      <c r="Q2">
        <v>5301</v>
      </c>
      <c r="R2">
        <v>5531</v>
      </c>
      <c r="S2">
        <v>7228</v>
      </c>
      <c r="T2">
        <v>7335</v>
      </c>
      <c r="U2">
        <v>8920</v>
      </c>
    </row>
    <row r="3" spans="1:22" x14ac:dyDescent="0.25">
      <c r="E3" s="7">
        <v>46204</v>
      </c>
      <c r="F3" s="7">
        <v>46235</v>
      </c>
      <c r="G3" s="7">
        <v>46266</v>
      </c>
      <c r="H3" s="7">
        <v>46296</v>
      </c>
      <c r="I3" s="7">
        <v>46327</v>
      </c>
      <c r="J3" s="7">
        <v>46357</v>
      </c>
      <c r="K3" s="13"/>
      <c r="P3" s="7">
        <v>46204</v>
      </c>
      <c r="Q3" s="7">
        <v>46235</v>
      </c>
      <c r="R3" s="7">
        <v>46266</v>
      </c>
      <c r="S3" s="7">
        <v>46296</v>
      </c>
      <c r="T3" s="7">
        <v>46327</v>
      </c>
      <c r="U3" s="7">
        <v>46357</v>
      </c>
    </row>
    <row r="4" spans="1:22" x14ac:dyDescent="0.25">
      <c r="A4" s="10" t="s">
        <v>0</v>
      </c>
      <c r="B4" s="10" t="s">
        <v>1</v>
      </c>
      <c r="C4" s="2">
        <v>58.37000000000004</v>
      </c>
      <c r="D4" s="1">
        <f>C4/C13</f>
        <v>2.5901976307035831E-2</v>
      </c>
      <c r="E4" s="8">
        <f t="shared" ref="E4:E12" si="1">SUMIFS(P:P,$M:$M,$A4)*$D4</f>
        <v>8.3669900997051592</v>
      </c>
      <c r="F4" s="8">
        <f t="shared" ref="F4:F12" si="2">SUMIFS(Q:Q,$M:$M,$A4)*$D4</f>
        <v>7.4870719984026097</v>
      </c>
      <c r="G4" s="8">
        <f t="shared" ref="G4:G12" si="3">SUMIFS(R:R,$M:$M,$A4)*$D4</f>
        <v>7.8119213776956844</v>
      </c>
      <c r="H4" s="8">
        <f t="shared" ref="H4:H12" si="4">SUMIFS(S:S,$M:$M,$A4)*$D4</f>
        <v>10.208744841436342</v>
      </c>
      <c r="I4" s="8">
        <f t="shared" ref="I4:I12" si="5">SUMIFS(T:T,$M:$M,$A4)*$D4</f>
        <v>10.359870422237904</v>
      </c>
      <c r="J4" s="8">
        <f t="shared" ref="J4:J12" si="6">SUMIFS(U:U,$M:$M,$A4)*$D4</f>
        <v>12.598506362148891</v>
      </c>
      <c r="K4" s="15">
        <f>SUM(C4:J4)</f>
        <v>115.22900707793367</v>
      </c>
      <c r="M4" s="10" t="s">
        <v>0</v>
      </c>
      <c r="N4" s="2">
        <f t="shared" ref="N4:N17" si="7">SUMIFS(C:C,A:A,M4)</f>
        <v>2253.496000000001</v>
      </c>
      <c r="O4" s="1">
        <f>N4/$N$18</f>
        <v>5.4528217803921843E-2</v>
      </c>
      <c r="P4" s="8">
        <f t="shared" ref="P4:U18" si="8">$O4*P$2</f>
        <v>323.02516227043299</v>
      </c>
      <c r="Q4" s="8">
        <f t="shared" si="8"/>
        <v>289.05408257858971</v>
      </c>
      <c r="R4" s="8">
        <f t="shared" si="8"/>
        <v>301.59557267349169</v>
      </c>
      <c r="S4" s="8">
        <f t="shared" si="8"/>
        <v>394.12995828674707</v>
      </c>
      <c r="T4" s="8">
        <f t="shared" si="8"/>
        <v>399.96447759176669</v>
      </c>
      <c r="U4" s="8">
        <f t="shared" si="8"/>
        <v>486.39170281098285</v>
      </c>
      <c r="V4" s="15">
        <f>SUM(P4:U4)</f>
        <v>2194.1609562120107</v>
      </c>
    </row>
    <row r="5" spans="1:22" x14ac:dyDescent="0.25">
      <c r="A5" s="11" t="s">
        <v>0</v>
      </c>
      <c r="B5" s="11" t="s">
        <v>2</v>
      </c>
      <c r="C5" s="2">
        <v>28.004999999999953</v>
      </c>
      <c r="D5" s="1">
        <f>C5/C13</f>
        <v>1.2427357315034035E-2</v>
      </c>
      <c r="E5" s="8">
        <f t="shared" si="1"/>
        <v>4.0143491132815212</v>
      </c>
      <c r="F5" s="8">
        <f t="shared" si="2"/>
        <v>3.5921783675734891</v>
      </c>
      <c r="G5" s="8">
        <f t="shared" si="3"/>
        <v>3.7480359462457957</v>
      </c>
      <c r="H5" s="8">
        <f t="shared" si="4"/>
        <v>4.8979938201888658</v>
      </c>
      <c r="I5" s="8">
        <f t="shared" si="5"/>
        <v>4.9705014763538085</v>
      </c>
      <c r="J5" s="8">
        <f t="shared" si="6"/>
        <v>6.0445634858999284</v>
      </c>
      <c r="K5" s="16">
        <f t="shared" ref="K5:K68" si="9">SUM(C5:J5)</f>
        <v>55.28504956685839</v>
      </c>
      <c r="M5" s="11" t="s">
        <v>10</v>
      </c>
      <c r="N5" s="2">
        <f t="shared" si="7"/>
        <v>1573.2650000000001</v>
      </c>
      <c r="O5" s="1">
        <f t="shared" ref="O5:O17" si="10">N5/$N$18</f>
        <v>3.8068555073222703E-2</v>
      </c>
      <c r="P5" s="8">
        <f t="shared" si="8"/>
        <v>225.51812025377129</v>
      </c>
      <c r="Q5" s="8">
        <f t="shared" si="8"/>
        <v>201.80141044315354</v>
      </c>
      <c r="R5" s="8">
        <f t="shared" si="8"/>
        <v>210.55717810999477</v>
      </c>
      <c r="S5" s="8">
        <f t="shared" si="8"/>
        <v>275.1595160692537</v>
      </c>
      <c r="T5" s="8">
        <f t="shared" si="8"/>
        <v>279.23285146208855</v>
      </c>
      <c r="U5" s="8">
        <f t="shared" si="8"/>
        <v>339.57151125314653</v>
      </c>
      <c r="V5" s="16">
        <f t="shared" ref="V5:V17" si="11">SUM(P5:U5)</f>
        <v>1531.8405875914084</v>
      </c>
    </row>
    <row r="6" spans="1:22" x14ac:dyDescent="0.25">
      <c r="A6" s="11" t="s">
        <v>0</v>
      </c>
      <c r="B6" s="11" t="s">
        <v>3</v>
      </c>
      <c r="C6" s="2">
        <v>0.15600000000000003</v>
      </c>
      <c r="D6" s="1">
        <f>C6/C13</f>
        <v>6.9225771867356301E-5</v>
      </c>
      <c r="E6" s="8">
        <f t="shared" si="1"/>
        <v>2.2361666190748745E-2</v>
      </c>
      <c r="F6" s="8">
        <f t="shared" si="2"/>
        <v>2.0009991977913422E-2</v>
      </c>
      <c r="G6" s="8">
        <f t="shared" si="3"/>
        <v>2.0878186310099814E-2</v>
      </c>
      <c r="H6" s="8">
        <f t="shared" si="4"/>
        <v>2.7283950578449009E-2</v>
      </c>
      <c r="I6" s="8">
        <f t="shared" si="5"/>
        <v>2.7687849680813982E-2</v>
      </c>
      <c r="J6" s="8">
        <f t="shared" si="6"/>
        <v>3.3670841056968062E-2</v>
      </c>
      <c r="K6" s="16">
        <f t="shared" si="9"/>
        <v>0.30796171156686042</v>
      </c>
      <c r="M6" s="11" t="s">
        <v>11</v>
      </c>
      <c r="N6" s="2">
        <f t="shared" si="7"/>
        <v>7276.3171999999977</v>
      </c>
      <c r="O6" s="1">
        <f t="shared" si="10"/>
        <v>0.17606625842336637</v>
      </c>
      <c r="P6" s="8">
        <f t="shared" si="8"/>
        <v>1043.0165149000225</v>
      </c>
      <c r="Q6" s="8">
        <f t="shared" si="8"/>
        <v>933.3272359022651</v>
      </c>
      <c r="R6" s="8">
        <f t="shared" si="8"/>
        <v>973.82247533963937</v>
      </c>
      <c r="S6" s="8">
        <f t="shared" si="8"/>
        <v>1272.6069158840921</v>
      </c>
      <c r="T6" s="8">
        <f t="shared" si="8"/>
        <v>1291.4460055353923</v>
      </c>
      <c r="U6" s="8">
        <f t="shared" si="8"/>
        <v>1570.5110251364281</v>
      </c>
      <c r="V6" s="16">
        <f t="shared" si="11"/>
        <v>7084.7301726978385</v>
      </c>
    </row>
    <row r="7" spans="1:22" x14ac:dyDescent="0.25">
      <c r="A7" s="11" t="s">
        <v>0</v>
      </c>
      <c r="B7" s="11" t="s">
        <v>4</v>
      </c>
      <c r="C7" s="2">
        <v>0</v>
      </c>
      <c r="D7" s="1">
        <f>C7/C13</f>
        <v>0</v>
      </c>
      <c r="E7" s="8">
        <f t="shared" si="1"/>
        <v>0</v>
      </c>
      <c r="F7" s="8">
        <f t="shared" si="2"/>
        <v>0</v>
      </c>
      <c r="G7" s="8">
        <f t="shared" si="3"/>
        <v>0</v>
      </c>
      <c r="H7" s="8">
        <f t="shared" si="4"/>
        <v>0</v>
      </c>
      <c r="I7" s="8">
        <f t="shared" si="5"/>
        <v>0</v>
      </c>
      <c r="J7" s="8">
        <f t="shared" si="6"/>
        <v>0</v>
      </c>
      <c r="K7" s="16">
        <f t="shared" si="9"/>
        <v>0</v>
      </c>
      <c r="M7" s="11" t="s">
        <v>12</v>
      </c>
      <c r="N7" s="2">
        <f t="shared" si="7"/>
        <v>1422.9749999999999</v>
      </c>
      <c r="O7" s="1">
        <f t="shared" si="10"/>
        <v>3.4431962927618083E-2</v>
      </c>
      <c r="P7" s="8">
        <f t="shared" si="8"/>
        <v>203.97494838320952</v>
      </c>
      <c r="Q7" s="8">
        <f t="shared" si="8"/>
        <v>182.52383547930347</v>
      </c>
      <c r="R7" s="8">
        <f t="shared" si="8"/>
        <v>190.44318695265562</v>
      </c>
      <c r="S7" s="8">
        <f t="shared" si="8"/>
        <v>248.87422804082351</v>
      </c>
      <c r="T7" s="8">
        <f t="shared" si="8"/>
        <v>252.55844807407863</v>
      </c>
      <c r="U7" s="8">
        <f t="shared" si="8"/>
        <v>307.13310931435331</v>
      </c>
      <c r="V7" s="16">
        <f t="shared" si="11"/>
        <v>1385.5077562444239</v>
      </c>
    </row>
    <row r="8" spans="1:22" x14ac:dyDescent="0.25">
      <c r="A8" s="11" t="s">
        <v>0</v>
      </c>
      <c r="B8" s="11" t="s">
        <v>5</v>
      </c>
      <c r="C8" s="2">
        <v>8.4250000000000007</v>
      </c>
      <c r="D8" s="1">
        <f>C8/C13</f>
        <v>3.7386354357851078E-3</v>
      </c>
      <c r="E8" s="8">
        <f t="shared" si="1"/>
        <v>1.2076733183144754</v>
      </c>
      <c r="F8" s="8">
        <f t="shared" si="2"/>
        <v>1.0806678359866704</v>
      </c>
      <c r="G8" s="8">
        <f t="shared" si="3"/>
        <v>1.1275558952730187</v>
      </c>
      <c r="H8" s="8">
        <f t="shared" si="4"/>
        <v>1.4735082283553389</v>
      </c>
      <c r="I8" s="8">
        <f t="shared" si="5"/>
        <v>1.4953213689798577</v>
      </c>
      <c r="J8" s="8">
        <f t="shared" si="6"/>
        <v>1.8184412558009995</v>
      </c>
      <c r="K8" s="16">
        <f t="shared" si="9"/>
        <v>16.631906538146144</v>
      </c>
      <c r="M8" s="11" t="s">
        <v>13</v>
      </c>
      <c r="N8" s="2">
        <f t="shared" si="7"/>
        <v>1662.3029999999997</v>
      </c>
      <c r="O8" s="1">
        <f t="shared" si="10"/>
        <v>4.0223022379499512E-2</v>
      </c>
      <c r="P8" s="8">
        <f t="shared" si="8"/>
        <v>238.28118457615511</v>
      </c>
      <c r="Q8" s="8">
        <f t="shared" si="8"/>
        <v>213.22224163372692</v>
      </c>
      <c r="R8" s="8">
        <f t="shared" si="8"/>
        <v>222.4735367810118</v>
      </c>
      <c r="S8" s="8">
        <f t="shared" si="8"/>
        <v>290.73200575902246</v>
      </c>
      <c r="T8" s="8">
        <f t="shared" si="8"/>
        <v>295.03586915362894</v>
      </c>
      <c r="U8" s="8">
        <f t="shared" si="8"/>
        <v>358.78935962513566</v>
      </c>
      <c r="V8" s="16">
        <f t="shared" si="11"/>
        <v>1618.5341975286808</v>
      </c>
    </row>
    <row r="9" spans="1:22" x14ac:dyDescent="0.25">
      <c r="A9" s="11" t="s">
        <v>0</v>
      </c>
      <c r="B9" s="11" t="s">
        <v>6</v>
      </c>
      <c r="C9" s="2">
        <v>607.87199999999973</v>
      </c>
      <c r="D9" s="1">
        <v>0.24415231398763479</v>
      </c>
      <c r="E9" s="8">
        <f t="shared" si="1"/>
        <v>78.867340844557432</v>
      </c>
      <c r="F9" s="8">
        <f t="shared" si="2"/>
        <v>70.573223129135556</v>
      </c>
      <c r="G9" s="8">
        <f t="shared" si="3"/>
        <v>73.635256956658864</v>
      </c>
      <c r="H9" s="8">
        <f t="shared" si="4"/>
        <v>96.227741327559272</v>
      </c>
      <c r="I9" s="8">
        <f t="shared" si="5"/>
        <v>97.652252716885343</v>
      </c>
      <c r="J9" s="8">
        <f t="shared" si="6"/>
        <v>118.75365974568743</v>
      </c>
      <c r="K9" s="16">
        <f t="shared" si="9"/>
        <v>1143.8256270344714</v>
      </c>
      <c r="L9" s="19"/>
      <c r="M9" s="11" t="s">
        <v>14</v>
      </c>
      <c r="N9" s="2">
        <f t="shared" si="7"/>
        <v>2043.5519999999997</v>
      </c>
      <c r="O9" s="1">
        <f t="shared" si="10"/>
        <v>4.944816789097474E-2</v>
      </c>
      <c r="P9" s="8">
        <f t="shared" si="8"/>
        <v>292.93094658613438</v>
      </c>
      <c r="Q9" s="8">
        <f t="shared" si="8"/>
        <v>262.1247379900571</v>
      </c>
      <c r="R9" s="8">
        <f t="shared" si="8"/>
        <v>273.49781660498127</v>
      </c>
      <c r="S9" s="8">
        <f t="shared" si="8"/>
        <v>357.41135751596539</v>
      </c>
      <c r="T9" s="8">
        <f t="shared" si="8"/>
        <v>362.70231148029973</v>
      </c>
      <c r="U9" s="8">
        <f t="shared" si="8"/>
        <v>441.07765758749468</v>
      </c>
      <c r="V9" s="16">
        <f t="shared" si="11"/>
        <v>1989.7448277649323</v>
      </c>
    </row>
    <row r="10" spans="1:22" x14ac:dyDescent="0.25">
      <c r="A10" s="11" t="s">
        <v>0</v>
      </c>
      <c r="B10" s="11" t="s">
        <v>7</v>
      </c>
      <c r="C10" s="2">
        <v>1550.6180000000008</v>
      </c>
      <c r="D10" s="1">
        <v>0.71368830343524947</v>
      </c>
      <c r="E10" s="8">
        <f t="shared" si="1"/>
        <v>230.53928002768149</v>
      </c>
      <c r="F10" s="8">
        <f t="shared" si="2"/>
        <v>206.29451779654619</v>
      </c>
      <c r="G10" s="8">
        <f t="shared" si="3"/>
        <v>215.24523258492678</v>
      </c>
      <c r="H10" s="8">
        <f t="shared" si="4"/>
        <v>281.28594126267416</v>
      </c>
      <c r="I10" s="8">
        <f t="shared" si="5"/>
        <v>285.44996944683385</v>
      </c>
      <c r="J10" s="8">
        <f t="shared" si="6"/>
        <v>347.13206918415239</v>
      </c>
      <c r="K10" s="16">
        <f t="shared" si="9"/>
        <v>3117.2786986062506</v>
      </c>
      <c r="M10" s="11" t="s">
        <v>15</v>
      </c>
      <c r="N10" s="2">
        <f t="shared" si="7"/>
        <v>3958.4668000000001</v>
      </c>
      <c r="O10" s="1">
        <f t="shared" si="10"/>
        <v>9.5783680042029556E-2</v>
      </c>
      <c r="P10" s="8">
        <f t="shared" si="8"/>
        <v>567.42252056898315</v>
      </c>
      <c r="Q10" s="8">
        <f t="shared" si="8"/>
        <v>507.7492879027987</v>
      </c>
      <c r="R10" s="8">
        <f t="shared" si="8"/>
        <v>529.77953431246544</v>
      </c>
      <c r="S10" s="8">
        <f t="shared" si="8"/>
        <v>692.32443934378966</v>
      </c>
      <c r="T10" s="8">
        <f t="shared" si="8"/>
        <v>702.57329310828675</v>
      </c>
      <c r="U10" s="8">
        <f t="shared" si="8"/>
        <v>854.39042597490368</v>
      </c>
      <c r="V10" s="16">
        <f t="shared" si="11"/>
        <v>3854.239501211227</v>
      </c>
    </row>
    <row r="11" spans="1:22" x14ac:dyDescent="0.25">
      <c r="A11" s="11" t="s">
        <v>0</v>
      </c>
      <c r="B11" s="11" t="s">
        <v>8</v>
      </c>
      <c r="C11" s="2">
        <v>0</v>
      </c>
      <c r="D11" s="1">
        <f>C11/C13</f>
        <v>0</v>
      </c>
      <c r="E11" s="8">
        <f t="shared" si="1"/>
        <v>0</v>
      </c>
      <c r="F11" s="8">
        <f t="shared" si="2"/>
        <v>0</v>
      </c>
      <c r="G11" s="8">
        <f t="shared" si="3"/>
        <v>0</v>
      </c>
      <c r="H11" s="8">
        <f t="shared" si="4"/>
        <v>0</v>
      </c>
      <c r="I11" s="8">
        <f t="shared" si="5"/>
        <v>0</v>
      </c>
      <c r="J11" s="8">
        <f t="shared" si="6"/>
        <v>0</v>
      </c>
      <c r="K11" s="16">
        <f t="shared" si="9"/>
        <v>0</v>
      </c>
      <c r="M11" s="11" t="s">
        <v>16</v>
      </c>
      <c r="N11" s="2">
        <f t="shared" si="7"/>
        <v>1222.6189999999997</v>
      </c>
      <c r="O11" s="1">
        <f t="shared" si="10"/>
        <v>2.958391544658303E-2</v>
      </c>
      <c r="P11" s="8">
        <f t="shared" si="8"/>
        <v>175.25511510555788</v>
      </c>
      <c r="Q11" s="8">
        <f t="shared" si="8"/>
        <v>156.82433578233665</v>
      </c>
      <c r="R11" s="8">
        <f t="shared" si="8"/>
        <v>163.62863633505074</v>
      </c>
      <c r="S11" s="8">
        <f t="shared" si="8"/>
        <v>213.83254084790215</v>
      </c>
      <c r="T11" s="8">
        <f t="shared" si="8"/>
        <v>216.99801980068654</v>
      </c>
      <c r="U11" s="8">
        <f t="shared" si="8"/>
        <v>263.88852578352061</v>
      </c>
      <c r="V11" s="16">
        <f t="shared" si="11"/>
        <v>1190.4271736550545</v>
      </c>
    </row>
    <row r="12" spans="1:22" x14ac:dyDescent="0.25">
      <c r="A12" s="12" t="s">
        <v>0</v>
      </c>
      <c r="B12" s="12" t="s">
        <v>9</v>
      </c>
      <c r="C12" s="2">
        <v>0.05</v>
      </c>
      <c r="D12" s="1">
        <f>C12/C13</f>
        <v>2.2187747393383429E-5</v>
      </c>
      <c r="E12" s="8">
        <f t="shared" si="1"/>
        <v>7.1672007021630589E-3</v>
      </c>
      <c r="F12" s="8">
        <f t="shared" si="2"/>
        <v>6.4134589672799423E-3</v>
      </c>
      <c r="G12" s="8">
        <f t="shared" si="3"/>
        <v>6.6917263814422479E-3</v>
      </c>
      <c r="H12" s="8">
        <f t="shared" si="4"/>
        <v>8.7448559546310922E-3</v>
      </c>
      <c r="I12" s="8">
        <f t="shared" si="5"/>
        <v>8.874310795132687E-3</v>
      </c>
      <c r="J12" s="8">
        <f t="shared" si="6"/>
        <v>1.0791936236207712E-2</v>
      </c>
      <c r="K12" s="17">
        <f t="shared" si="9"/>
        <v>9.8705676784250129E-2</v>
      </c>
      <c r="M12" s="11" t="s">
        <v>17</v>
      </c>
      <c r="N12" s="2">
        <f t="shared" si="7"/>
        <v>737.06999999999982</v>
      </c>
      <c r="O12" s="1">
        <f t="shared" si="10"/>
        <v>1.7835005474487926E-2</v>
      </c>
      <c r="P12" s="8">
        <f t="shared" si="8"/>
        <v>105.65457243086647</v>
      </c>
      <c r="Q12" s="8">
        <f t="shared" si="8"/>
        <v>94.543364020260498</v>
      </c>
      <c r="R12" s="8">
        <f t="shared" si="8"/>
        <v>98.645415279392722</v>
      </c>
      <c r="S12" s="8">
        <f t="shared" si="8"/>
        <v>128.91141956959873</v>
      </c>
      <c r="T12" s="8">
        <f t="shared" si="8"/>
        <v>130.81976515536894</v>
      </c>
      <c r="U12" s="8">
        <f t="shared" si="8"/>
        <v>159.0882488324323</v>
      </c>
      <c r="V12" s="16">
        <f t="shared" si="11"/>
        <v>717.66278528791963</v>
      </c>
    </row>
    <row r="13" spans="1:22" x14ac:dyDescent="0.25">
      <c r="B13" s="19">
        <f>1-D13</f>
        <v>0</v>
      </c>
      <c r="C13" s="3">
        <v>2253.496000000001</v>
      </c>
      <c r="D13" s="5">
        <f>SUM(D4:D12)</f>
        <v>1</v>
      </c>
      <c r="E13" s="9">
        <f>SUM(E4:E12)</f>
        <v>323.02516227043299</v>
      </c>
      <c r="F13" s="9">
        <f t="shared" ref="F13:J13" si="12">SUM(F4:F12)</f>
        <v>289.05408257858971</v>
      </c>
      <c r="G13" s="9">
        <f t="shared" si="12"/>
        <v>301.59557267349169</v>
      </c>
      <c r="H13" s="9">
        <f t="shared" si="12"/>
        <v>394.12995828674701</v>
      </c>
      <c r="I13" s="9">
        <f t="shared" si="12"/>
        <v>399.96447759176669</v>
      </c>
      <c r="J13" s="9">
        <f t="shared" si="12"/>
        <v>486.39170281098285</v>
      </c>
      <c r="K13" s="18">
        <f t="shared" si="9"/>
        <v>4448.6569562120121</v>
      </c>
      <c r="M13" s="11" t="s">
        <v>18</v>
      </c>
      <c r="N13" s="2">
        <f t="shared" si="7"/>
        <v>1122.6889999999996</v>
      </c>
      <c r="O13" s="1">
        <f t="shared" si="10"/>
        <v>2.7165892603344829E-2</v>
      </c>
      <c r="P13" s="8">
        <f t="shared" si="8"/>
        <v>160.93074778221478</v>
      </c>
      <c r="Q13" s="8">
        <f t="shared" si="8"/>
        <v>144.00639669033094</v>
      </c>
      <c r="R13" s="8">
        <f t="shared" si="8"/>
        <v>150.25455198910026</v>
      </c>
      <c r="S13" s="8">
        <f t="shared" si="8"/>
        <v>196.35507173697644</v>
      </c>
      <c r="T13" s="8">
        <f t="shared" si="8"/>
        <v>199.26182224553432</v>
      </c>
      <c r="U13" s="8">
        <f t="shared" si="8"/>
        <v>242.31976202183588</v>
      </c>
      <c r="V13" s="16">
        <f t="shared" si="11"/>
        <v>1093.1283524659925</v>
      </c>
    </row>
    <row r="14" spans="1:22" x14ac:dyDescent="0.25">
      <c r="A14" s="10" t="s">
        <v>10</v>
      </c>
      <c r="B14" s="10" t="s">
        <v>1</v>
      </c>
      <c r="C14" s="2">
        <v>30.924999999999997</v>
      </c>
      <c r="D14" s="1">
        <f t="shared" ref="D14" si="13">C14/C23</f>
        <v>1.9656574067305886E-2</v>
      </c>
      <c r="E14" s="8">
        <f t="shared" ref="E14:E22" si="14">SUMIFS(P:P,$M:$M,$A14)*$D14</f>
        <v>4.4329136342878508</v>
      </c>
      <c r="F14" s="8">
        <f t="shared" ref="F14:F22" si="15">SUMIFS(Q:Q,$M:$M,$A14)*$D14</f>
        <v>3.966724371262643</v>
      </c>
      <c r="G14" s="8">
        <f t="shared" ref="G14:G22" si="16">SUMIFS(R:R,$M:$M,$A14)*$D14</f>
        <v>4.1388327669220297</v>
      </c>
      <c r="H14" s="8">
        <f t="shared" ref="H14:H22" si="17">SUMIFS(S:S,$M:$M,$A14)*$D14</f>
        <v>5.4086934079393298</v>
      </c>
      <c r="I14" s="8">
        <f t="shared" ref="I14:I22" si="18">SUMIFS(T:T,$M:$M,$A14)*$D14</f>
        <v>5.488761226789566</v>
      </c>
      <c r="J14" s="8">
        <f t="shared" ref="J14:J22" si="19">SUMIFS(U:U,$M:$M,$A14)*$D14</f>
        <v>6.6748125620944689</v>
      </c>
      <c r="K14" s="15">
        <f t="shared" si="9"/>
        <v>61.055394543363185</v>
      </c>
      <c r="M14" s="11" t="s">
        <v>19</v>
      </c>
      <c r="N14" s="2">
        <f t="shared" si="7"/>
        <v>1689.5729999999983</v>
      </c>
      <c r="O14" s="1">
        <f t="shared" si="10"/>
        <v>4.0882879108560879E-2</v>
      </c>
      <c r="P14" s="8">
        <f t="shared" si="8"/>
        <v>242.19017583911466</v>
      </c>
      <c r="Q14" s="8">
        <f t="shared" si="8"/>
        <v>216.72014215448121</v>
      </c>
      <c r="R14" s="8">
        <f t="shared" si="8"/>
        <v>226.12320434945022</v>
      </c>
      <c r="S14" s="8">
        <f t="shared" si="8"/>
        <v>295.50145019667804</v>
      </c>
      <c r="T14" s="8">
        <f t="shared" si="8"/>
        <v>299.87591826129403</v>
      </c>
      <c r="U14" s="8">
        <f t="shared" si="8"/>
        <v>364.67528164836307</v>
      </c>
      <c r="V14" s="16">
        <f t="shared" si="11"/>
        <v>1645.0861724493811</v>
      </c>
    </row>
    <row r="15" spans="1:22" x14ac:dyDescent="0.25">
      <c r="A15" s="11" t="s">
        <v>10</v>
      </c>
      <c r="B15" s="11" t="s">
        <v>2</v>
      </c>
      <c r="C15" s="2">
        <v>16.629999999999956</v>
      </c>
      <c r="D15" s="1">
        <f t="shared" ref="D15" si="20">C15/C23</f>
        <v>1.0570374348885888E-2</v>
      </c>
      <c r="E15" s="8">
        <f t="shared" si="14"/>
        <v>2.383810953539427</v>
      </c>
      <c r="F15" s="8">
        <f t="shared" si="15"/>
        <v>2.133116452517303</v>
      </c>
      <c r="G15" s="8">
        <f t="shared" si="16"/>
        <v>2.2256681944676857</v>
      </c>
      <c r="H15" s="8">
        <f t="shared" si="17"/>
        <v>2.9085390905102937</v>
      </c>
      <c r="I15" s="8">
        <f t="shared" si="18"/>
        <v>2.951595770461124</v>
      </c>
      <c r="J15" s="8">
        <f t="shared" si="19"/>
        <v>3.5893979921626755</v>
      </c>
      <c r="K15" s="16">
        <f t="shared" si="9"/>
        <v>32.832698828007352</v>
      </c>
      <c r="M15" s="11" t="s">
        <v>20</v>
      </c>
      <c r="N15" s="2">
        <f t="shared" si="7"/>
        <v>2387.0360000000001</v>
      </c>
      <c r="O15" s="1">
        <f t="shared" si="10"/>
        <v>5.775950741150742E-2</v>
      </c>
      <c r="P15" s="8">
        <f t="shared" si="8"/>
        <v>342.16732190576994</v>
      </c>
      <c r="Q15" s="8">
        <f t="shared" si="8"/>
        <v>306.18314878840084</v>
      </c>
      <c r="R15" s="8">
        <f t="shared" si="8"/>
        <v>319.46783549304752</v>
      </c>
      <c r="S15" s="8">
        <f t="shared" si="8"/>
        <v>417.48571957037564</v>
      </c>
      <c r="T15" s="8">
        <f t="shared" si="8"/>
        <v>423.66598686340694</v>
      </c>
      <c r="U15" s="8">
        <f t="shared" si="8"/>
        <v>515.21480611064624</v>
      </c>
      <c r="V15" s="16">
        <f t="shared" si="11"/>
        <v>2324.1848187316473</v>
      </c>
    </row>
    <row r="16" spans="1:22" x14ac:dyDescent="0.25">
      <c r="A16" s="11" t="s">
        <v>10</v>
      </c>
      <c r="B16" s="11" t="s">
        <v>3</v>
      </c>
      <c r="C16" s="2">
        <v>0.15000000000000002</v>
      </c>
      <c r="D16" s="1">
        <f t="shared" ref="D16" si="21">C16/C23</f>
        <v>9.534312401280141E-5</v>
      </c>
      <c r="E16" s="8">
        <f t="shared" si="14"/>
        <v>2.1501602106489177E-2</v>
      </c>
      <c r="F16" s="8">
        <f t="shared" si="15"/>
        <v>1.9240376901839825E-2</v>
      </c>
      <c r="G16" s="8">
        <f t="shared" si="16"/>
        <v>2.0075179144326747E-2</v>
      </c>
      <c r="H16" s="8">
        <f t="shared" si="17"/>
        <v>2.6234567863893277E-2</v>
      </c>
      <c r="I16" s="8">
        <f t="shared" si="18"/>
        <v>2.6622932385398063E-2</v>
      </c>
      <c r="J16" s="8">
        <f t="shared" si="19"/>
        <v>3.2375808708623138E-2</v>
      </c>
      <c r="K16" s="16">
        <f t="shared" si="9"/>
        <v>0.29614581023458308</v>
      </c>
      <c r="M16" s="11" t="s">
        <v>21</v>
      </c>
      <c r="N16" s="2">
        <f t="shared" si="7"/>
        <v>10790.921999999995</v>
      </c>
      <c r="O16" s="1">
        <f t="shared" si="10"/>
        <v>0.2611097357710559</v>
      </c>
      <c r="P16" s="8">
        <f t="shared" si="8"/>
        <v>1546.814074707735</v>
      </c>
      <c r="Q16" s="8">
        <f t="shared" si="8"/>
        <v>1384.1427093223674</v>
      </c>
      <c r="R16" s="8">
        <f t="shared" si="8"/>
        <v>1444.1979485497102</v>
      </c>
      <c r="S16" s="8">
        <f t="shared" si="8"/>
        <v>1887.3011701531921</v>
      </c>
      <c r="T16" s="8">
        <f t="shared" si="8"/>
        <v>1915.239911880695</v>
      </c>
      <c r="U16" s="8">
        <f t="shared" si="8"/>
        <v>2329.0988430778184</v>
      </c>
      <c r="V16" s="16">
        <f t="shared" si="11"/>
        <v>10506.794657691518</v>
      </c>
    </row>
    <row r="17" spans="1:22" x14ac:dyDescent="0.25">
      <c r="A17" s="11" t="s">
        <v>10</v>
      </c>
      <c r="B17" s="11" t="s">
        <v>4</v>
      </c>
      <c r="C17" s="2">
        <v>0</v>
      </c>
      <c r="D17" s="1">
        <f t="shared" ref="D17" si="22">C17/C23</f>
        <v>0</v>
      </c>
      <c r="E17" s="8">
        <f t="shared" si="14"/>
        <v>0</v>
      </c>
      <c r="F17" s="8">
        <f t="shared" si="15"/>
        <v>0</v>
      </c>
      <c r="G17" s="8">
        <f t="shared" si="16"/>
        <v>0</v>
      </c>
      <c r="H17" s="8">
        <f t="shared" si="17"/>
        <v>0</v>
      </c>
      <c r="I17" s="8">
        <f t="shared" si="18"/>
        <v>0</v>
      </c>
      <c r="J17" s="8">
        <f t="shared" si="19"/>
        <v>0</v>
      </c>
      <c r="K17" s="16">
        <f t="shared" si="9"/>
        <v>0</v>
      </c>
      <c r="M17" s="12" t="s">
        <v>22</v>
      </c>
      <c r="N17" s="2">
        <f t="shared" si="7"/>
        <v>3186.8690000000006</v>
      </c>
      <c r="O17" s="1">
        <f t="shared" si="10"/>
        <v>7.7113199643827429E-2</v>
      </c>
      <c r="P17" s="8">
        <f t="shared" si="8"/>
        <v>456.81859469003371</v>
      </c>
      <c r="Q17" s="8">
        <f t="shared" si="8"/>
        <v>408.77707131192921</v>
      </c>
      <c r="R17" s="8">
        <f t="shared" si="8"/>
        <v>426.5131072300095</v>
      </c>
      <c r="S17" s="8">
        <f t="shared" si="8"/>
        <v>557.37420702558461</v>
      </c>
      <c r="T17" s="8">
        <f t="shared" si="8"/>
        <v>565.62531938747418</v>
      </c>
      <c r="U17" s="8">
        <f t="shared" si="8"/>
        <v>687.8497408229407</v>
      </c>
      <c r="V17" s="17">
        <f t="shared" si="11"/>
        <v>3102.9580404679718</v>
      </c>
    </row>
    <row r="18" spans="1:22" x14ac:dyDescent="0.25">
      <c r="A18" s="11" t="s">
        <v>10</v>
      </c>
      <c r="B18" s="11" t="s">
        <v>5</v>
      </c>
      <c r="C18" s="2">
        <v>1.6750000000000003</v>
      </c>
      <c r="D18" s="1">
        <f t="shared" ref="D18" si="23">C18/C23</f>
        <v>1.0646648848096159E-3</v>
      </c>
      <c r="E18" s="8">
        <f t="shared" si="14"/>
        <v>0.24010122352246252</v>
      </c>
      <c r="F18" s="8">
        <f t="shared" si="15"/>
        <v>0.21485087540387807</v>
      </c>
      <c r="G18" s="8">
        <f t="shared" si="16"/>
        <v>0.22417283377831534</v>
      </c>
      <c r="H18" s="8">
        <f t="shared" si="17"/>
        <v>0.29295267448014162</v>
      </c>
      <c r="I18" s="8">
        <f t="shared" si="18"/>
        <v>0.29728941163694506</v>
      </c>
      <c r="J18" s="8">
        <f t="shared" si="19"/>
        <v>0.36152986391295844</v>
      </c>
      <c r="K18" s="16">
        <f t="shared" si="9"/>
        <v>3.3069615476195113</v>
      </c>
      <c r="N18" s="3">
        <f>SUM(N4:N17)</f>
        <v>41327.152999999984</v>
      </c>
      <c r="O18" s="4">
        <f>SUM(O4:O17)</f>
        <v>1</v>
      </c>
      <c r="P18" s="9">
        <f t="shared" si="8"/>
        <v>5924</v>
      </c>
      <c r="Q18" s="9">
        <f t="shared" si="8"/>
        <v>5301</v>
      </c>
      <c r="R18" s="9">
        <f t="shared" si="8"/>
        <v>5531</v>
      </c>
      <c r="S18" s="9">
        <f t="shared" si="8"/>
        <v>7228</v>
      </c>
      <c r="T18" s="9">
        <f t="shared" si="8"/>
        <v>7335</v>
      </c>
      <c r="U18" s="9">
        <f t="shared" si="8"/>
        <v>8920</v>
      </c>
      <c r="V18" s="18">
        <f>SUM(V4:V17)</f>
        <v>40239.000000000007</v>
      </c>
    </row>
    <row r="19" spans="1:22" x14ac:dyDescent="0.25">
      <c r="A19" s="11" t="s">
        <v>10</v>
      </c>
      <c r="B19" s="11" t="s">
        <v>6</v>
      </c>
      <c r="C19" s="2">
        <v>317.53999999999996</v>
      </c>
      <c r="D19" s="1">
        <v>0.23676542715014648</v>
      </c>
      <c r="E19" s="8">
        <f t="shared" si="14"/>
        <v>53.394894071982257</v>
      </c>
      <c r="F19" s="8">
        <f t="shared" si="15"/>
        <v>47.779597143075279</v>
      </c>
      <c r="G19" s="8">
        <f t="shared" si="16"/>
        <v>49.852660214742386</v>
      </c>
      <c r="H19" s="8">
        <f t="shared" si="17"/>
        <v>65.14826035656445</v>
      </c>
      <c r="I19" s="8">
        <f t="shared" si="18"/>
        <v>66.112685350774797</v>
      </c>
      <c r="J19" s="8">
        <f t="shared" si="19"/>
        <v>80.398793909872012</v>
      </c>
      <c r="K19" s="16">
        <f t="shared" si="9"/>
        <v>680.46365647416133</v>
      </c>
      <c r="L19" s="19"/>
    </row>
    <row r="20" spans="1:22" x14ac:dyDescent="0.25">
      <c r="A20" s="11" t="s">
        <v>10</v>
      </c>
      <c r="B20" s="11" t="s">
        <v>7</v>
      </c>
      <c r="C20" s="2">
        <v>1206.3250000000003</v>
      </c>
      <c r="D20" s="1">
        <v>0.73183490400830431</v>
      </c>
      <c r="E20" s="8">
        <f t="shared" si="14"/>
        <v>165.04203188805192</v>
      </c>
      <c r="F20" s="8">
        <f t="shared" si="15"/>
        <v>147.68531584040568</v>
      </c>
      <c r="G20" s="8">
        <f t="shared" si="16"/>
        <v>154.09309223038744</v>
      </c>
      <c r="H20" s="8">
        <f t="shared" si="17"/>
        <v>201.37133802951374</v>
      </c>
      <c r="I20" s="8">
        <f t="shared" si="18"/>
        <v>204.35234704572267</v>
      </c>
      <c r="J20" s="8">
        <f t="shared" si="19"/>
        <v>248.51028434190133</v>
      </c>
      <c r="K20" s="16">
        <f t="shared" si="9"/>
        <v>2328.1112442799913</v>
      </c>
    </row>
    <row r="21" spans="1:22" x14ac:dyDescent="0.25">
      <c r="A21" s="11" t="s">
        <v>10</v>
      </c>
      <c r="B21" s="11" t="s">
        <v>8</v>
      </c>
      <c r="C21" s="2">
        <v>0</v>
      </c>
      <c r="D21" s="1">
        <f t="shared" ref="D21" si="24">C21/C23</f>
        <v>0</v>
      </c>
      <c r="E21" s="8">
        <f t="shared" si="14"/>
        <v>0</v>
      </c>
      <c r="F21" s="8">
        <f t="shared" si="15"/>
        <v>0</v>
      </c>
      <c r="G21" s="8">
        <f t="shared" si="16"/>
        <v>0</v>
      </c>
      <c r="H21" s="8">
        <f t="shared" si="17"/>
        <v>0</v>
      </c>
      <c r="I21" s="8">
        <f t="shared" si="18"/>
        <v>0</v>
      </c>
      <c r="J21" s="8">
        <f t="shared" si="19"/>
        <v>0</v>
      </c>
      <c r="K21" s="16">
        <f t="shared" si="9"/>
        <v>0</v>
      </c>
    </row>
    <row r="22" spans="1:22" x14ac:dyDescent="0.25">
      <c r="A22" s="12" t="s">
        <v>10</v>
      </c>
      <c r="B22" s="12" t="s">
        <v>9</v>
      </c>
      <c r="C22" s="2">
        <v>0.02</v>
      </c>
      <c r="D22" s="1">
        <f t="shared" ref="D22" si="25">C22/C23</f>
        <v>1.2712416535040187E-5</v>
      </c>
      <c r="E22" s="8">
        <f t="shared" si="14"/>
        <v>2.8668802808652235E-3</v>
      </c>
      <c r="F22" s="8">
        <f t="shared" si="15"/>
        <v>2.5653835869119766E-3</v>
      </c>
      <c r="G22" s="8">
        <f t="shared" si="16"/>
        <v>2.676690552576899E-3</v>
      </c>
      <c r="H22" s="8">
        <f t="shared" si="17"/>
        <v>3.4979423818524368E-3</v>
      </c>
      <c r="I22" s="8">
        <f t="shared" si="18"/>
        <v>3.549724318053075E-3</v>
      </c>
      <c r="J22" s="8">
        <f t="shared" si="19"/>
        <v>4.3167744944830845E-3</v>
      </c>
      <c r="K22" s="17">
        <f t="shared" si="9"/>
        <v>3.9486108031277736E-2</v>
      </c>
    </row>
    <row r="23" spans="1:22" x14ac:dyDescent="0.25">
      <c r="B23" s="19">
        <f>1-D23</f>
        <v>0</v>
      </c>
      <c r="C23" s="3">
        <v>1573.2650000000001</v>
      </c>
      <c r="D23" s="5">
        <f t="shared" ref="D23:E23" si="26">SUM(D14:D22)</f>
        <v>1</v>
      </c>
      <c r="E23" s="9">
        <f t="shared" si="26"/>
        <v>225.51812025377126</v>
      </c>
      <c r="F23" s="9">
        <f t="shared" ref="F23" si="27">SUM(F14:F22)</f>
        <v>201.80141044315351</v>
      </c>
      <c r="G23" s="9">
        <f t="shared" ref="G23" si="28">SUM(G14:G22)</f>
        <v>210.55717810999477</v>
      </c>
      <c r="H23" s="9">
        <f t="shared" ref="H23" si="29">SUM(H14:H22)</f>
        <v>275.1595160692537</v>
      </c>
      <c r="I23" s="9">
        <f t="shared" ref="I23" si="30">SUM(I14:I22)</f>
        <v>279.23285146208855</v>
      </c>
      <c r="J23" s="9">
        <f t="shared" ref="J23" si="31">SUM(J14:J22)</f>
        <v>339.57151125314653</v>
      </c>
      <c r="K23" s="18">
        <f t="shared" si="9"/>
        <v>3106.1055875914085</v>
      </c>
    </row>
    <row r="24" spans="1:22" x14ac:dyDescent="0.25">
      <c r="A24" s="10" t="s">
        <v>11</v>
      </c>
      <c r="B24" s="10" t="s">
        <v>1</v>
      </c>
      <c r="C24" s="2">
        <v>67.630000000000038</v>
      </c>
      <c r="D24" s="1">
        <f t="shared" ref="D24" si="32">C24/C33</f>
        <v>9.294537077080705E-3</v>
      </c>
      <c r="E24" s="8">
        <f t="shared" ref="E24:J28" si="33">SUMIFS(P:P,$M:$M,$A24)*$D24</f>
        <v>9.6943556697457591</v>
      </c>
      <c r="F24" s="8">
        <f t="shared" si="33"/>
        <v>8.6748445991428529</v>
      </c>
      <c r="G24" s="8">
        <f t="shared" si="33"/>
        <v>9.0512291035387893</v>
      </c>
      <c r="H24" s="8">
        <f t="shared" si="33"/>
        <v>11.82829216423402</v>
      </c>
      <c r="I24" s="8">
        <f t="shared" si="33"/>
        <v>12.003392781496476</v>
      </c>
      <c r="J24" s="8">
        <f t="shared" si="33"/>
        <v>14.597172953094558</v>
      </c>
      <c r="K24" s="15">
        <f t="shared" si="9"/>
        <v>133.48858180832957</v>
      </c>
    </row>
    <row r="25" spans="1:22" x14ac:dyDescent="0.25">
      <c r="A25" s="11" t="s">
        <v>11</v>
      </c>
      <c r="B25" s="11" t="s">
        <v>2</v>
      </c>
      <c r="C25" s="2">
        <v>75.44720000000008</v>
      </c>
      <c r="D25" s="1">
        <f t="shared" ref="D25" si="34">C25/C33</f>
        <v>1.0368871769361581E-2</v>
      </c>
      <c r="E25" s="8">
        <f t="shared" si="33"/>
        <v>10.814904496324747</v>
      </c>
      <c r="F25" s="8">
        <f t="shared" si="33"/>
        <v>9.6775504279232738</v>
      </c>
      <c r="G25" s="8">
        <f t="shared" si="33"/>
        <v>10.097440372919001</v>
      </c>
      <c r="H25" s="8">
        <f t="shared" si="33"/>
        <v>13.195497923604872</v>
      </c>
      <c r="I25" s="8">
        <f t="shared" si="33"/>
        <v>13.390838028450709</v>
      </c>
      <c r="J25" s="8">
        <f t="shared" si="33"/>
        <v>16.284427432008226</v>
      </c>
      <c r="K25" s="16">
        <f t="shared" si="9"/>
        <v>148.91822755300026</v>
      </c>
    </row>
    <row r="26" spans="1:22" x14ac:dyDescent="0.25">
      <c r="A26" s="11" t="s">
        <v>11</v>
      </c>
      <c r="B26" s="11" t="s">
        <v>3</v>
      </c>
      <c r="C26" s="2">
        <v>0.14300000000000002</v>
      </c>
      <c r="D26" s="1">
        <f t="shared" ref="D26" si="35">C26/C33</f>
        <v>1.9652799083580366E-5</v>
      </c>
      <c r="E26" s="8">
        <f t="shared" si="33"/>
        <v>2.0498194008186348E-2</v>
      </c>
      <c r="F26" s="8">
        <f t="shared" si="33"/>
        <v>1.8342492646420631E-2</v>
      </c>
      <c r="G26" s="8">
        <f t="shared" si="33"/>
        <v>1.9138337450924827E-2</v>
      </c>
      <c r="H26" s="8">
        <f t="shared" si="33"/>
        <v>2.5010288030244923E-2</v>
      </c>
      <c r="I26" s="8">
        <f t="shared" si="33"/>
        <v>2.5380528874079482E-2</v>
      </c>
      <c r="J26" s="8">
        <f t="shared" si="33"/>
        <v>3.0864937635554056E-2</v>
      </c>
      <c r="K26" s="16">
        <f t="shared" si="9"/>
        <v>0.28225443144449386</v>
      </c>
    </row>
    <row r="27" spans="1:22" x14ac:dyDescent="0.25">
      <c r="A27" s="11" t="s">
        <v>11</v>
      </c>
      <c r="B27" s="11" t="s">
        <v>4</v>
      </c>
      <c r="C27" s="2">
        <v>0</v>
      </c>
      <c r="D27" s="1">
        <f t="shared" ref="D27" si="36">C27/C33</f>
        <v>0</v>
      </c>
      <c r="E27" s="8">
        <f t="shared" si="33"/>
        <v>0</v>
      </c>
      <c r="F27" s="8">
        <f t="shared" si="33"/>
        <v>0</v>
      </c>
      <c r="G27" s="8">
        <f t="shared" si="33"/>
        <v>0</v>
      </c>
      <c r="H27" s="8">
        <f t="shared" si="33"/>
        <v>0</v>
      </c>
      <c r="I27" s="8">
        <f t="shared" si="33"/>
        <v>0</v>
      </c>
      <c r="J27" s="8">
        <f t="shared" si="33"/>
        <v>0</v>
      </c>
      <c r="K27" s="16">
        <f t="shared" si="9"/>
        <v>0</v>
      </c>
    </row>
    <row r="28" spans="1:22" x14ac:dyDescent="0.25">
      <c r="A28" s="11" t="s">
        <v>11</v>
      </c>
      <c r="B28" s="11" t="s">
        <v>5</v>
      </c>
      <c r="C28" s="2">
        <v>32.000000000000007</v>
      </c>
      <c r="D28" s="1">
        <f t="shared" ref="D28" si="37">C28/C33</f>
        <v>4.397829165556446E-3</v>
      </c>
      <c r="E28" s="8">
        <f t="shared" si="33"/>
        <v>4.5870084493843581</v>
      </c>
      <c r="F28" s="8">
        <f t="shared" si="33"/>
        <v>4.1046137390591628</v>
      </c>
      <c r="G28" s="8">
        <f t="shared" si="33"/>
        <v>4.2827048841230386</v>
      </c>
      <c r="H28" s="8">
        <f t="shared" si="33"/>
        <v>5.596707810963899</v>
      </c>
      <c r="I28" s="8">
        <f t="shared" si="33"/>
        <v>5.6795589088849194</v>
      </c>
      <c r="J28" s="8">
        <f t="shared" si="33"/>
        <v>6.9068391911729359</v>
      </c>
      <c r="K28" s="16">
        <f t="shared" si="9"/>
        <v>63.161830812753877</v>
      </c>
    </row>
    <row r="29" spans="1:22" x14ac:dyDescent="0.25">
      <c r="A29" s="11" t="s">
        <v>11</v>
      </c>
      <c r="B29" s="11" t="s">
        <v>6</v>
      </c>
      <c r="C29" s="2">
        <v>838.51499999999942</v>
      </c>
      <c r="D29" s="1">
        <v>0.16769286142647954</v>
      </c>
      <c r="E29" s="8">
        <v>219.03346812900475</v>
      </c>
      <c r="F29" s="8">
        <v>195.99871953947567</v>
      </c>
      <c r="G29" s="8">
        <v>204.50271982132426</v>
      </c>
      <c r="H29" s="8">
        <v>267.24745233565937</v>
      </c>
      <c r="I29" s="8">
        <v>271.20366116243235</v>
      </c>
      <c r="J29" s="8">
        <v>329.80731527864987</v>
      </c>
      <c r="K29" s="16">
        <f t="shared" si="9"/>
        <v>2326.4760291279717</v>
      </c>
      <c r="L29" s="19"/>
    </row>
    <row r="30" spans="1:22" x14ac:dyDescent="0.25">
      <c r="A30" s="11" t="s">
        <v>11</v>
      </c>
      <c r="B30" s="11" t="s">
        <v>7</v>
      </c>
      <c r="C30" s="2">
        <v>4362.6969999999983</v>
      </c>
      <c r="D30" s="1">
        <v>0.54712094575608794</v>
      </c>
      <c r="E30" s="8">
        <v>797.86627996155482</v>
      </c>
      <c r="F30" s="8">
        <v>713.85316510401765</v>
      </c>
      <c r="G30" s="8">
        <v>744.86924282028326</v>
      </c>
      <c r="H30" s="8">
        <v>973.71395536160003</v>
      </c>
      <c r="I30" s="8">
        <v>988.14317412525384</v>
      </c>
      <c r="J30" s="8">
        <v>1201.884405343867</v>
      </c>
      <c r="K30" s="16">
        <f t="shared" si="9"/>
        <v>9783.5743436623306</v>
      </c>
      <c r="M30" s="6"/>
    </row>
    <row r="31" spans="1:22" x14ac:dyDescent="0.25">
      <c r="A31" s="11" t="s">
        <v>11</v>
      </c>
      <c r="B31" s="11" t="s">
        <v>8</v>
      </c>
      <c r="C31" s="2">
        <v>0</v>
      </c>
      <c r="D31" s="1">
        <f t="shared" ref="D31" si="38">C31/C33</f>
        <v>0</v>
      </c>
      <c r="E31" s="8">
        <f t="shared" ref="E31:J31" si="39">SUMIFS(P:P,$M:$M,$A31)*$D31</f>
        <v>0</v>
      </c>
      <c r="F31" s="8">
        <f t="shared" si="39"/>
        <v>0</v>
      </c>
      <c r="G31" s="8">
        <f t="shared" si="39"/>
        <v>0</v>
      </c>
      <c r="H31" s="8">
        <f t="shared" si="39"/>
        <v>0</v>
      </c>
      <c r="I31" s="8">
        <f t="shared" si="39"/>
        <v>0</v>
      </c>
      <c r="J31" s="8">
        <f t="shared" si="39"/>
        <v>0</v>
      </c>
      <c r="K31" s="16">
        <f t="shared" si="9"/>
        <v>0</v>
      </c>
    </row>
    <row r="32" spans="1:22" x14ac:dyDescent="0.25">
      <c r="A32" s="12" t="s">
        <v>11</v>
      </c>
      <c r="B32" s="12" t="s">
        <v>9</v>
      </c>
      <c r="C32" s="2">
        <v>1899.885</v>
      </c>
      <c r="D32" s="1">
        <f t="shared" ref="D32" si="40">C32/C33</f>
        <v>0.26110530200635024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17">
        <f t="shared" si="9"/>
        <v>1906.1461053020064</v>
      </c>
    </row>
    <row r="33" spans="1:12" x14ac:dyDescent="0.25">
      <c r="B33" s="19">
        <f>1-D33</f>
        <v>0</v>
      </c>
      <c r="C33" s="3">
        <v>7276.3171999999977</v>
      </c>
      <c r="D33" s="5">
        <f t="shared" ref="D33:E33" si="41">SUM(D24:D32)</f>
        <v>1</v>
      </c>
      <c r="E33" s="9">
        <f t="shared" si="41"/>
        <v>1043.0165149000227</v>
      </c>
      <c r="F33" s="9">
        <f t="shared" ref="F33" si="42">SUM(F24:F32)</f>
        <v>933.3272359022651</v>
      </c>
      <c r="G33" s="9">
        <f t="shared" ref="G33" si="43">SUM(G24:G32)</f>
        <v>973.82247533963925</v>
      </c>
      <c r="H33" s="9">
        <f t="shared" ref="H33" si="44">SUM(H24:H32)</f>
        <v>1272.6069158840924</v>
      </c>
      <c r="I33" s="9">
        <f t="shared" ref="I33" si="45">SUM(I24:I32)</f>
        <v>1291.4460055353925</v>
      </c>
      <c r="J33" s="9">
        <f t="shared" ref="J33" si="46">SUM(J24:J32)</f>
        <v>1570.5110251364281</v>
      </c>
      <c r="K33" s="18">
        <f t="shared" si="9"/>
        <v>14362.047372697836</v>
      </c>
    </row>
    <row r="34" spans="1:12" x14ac:dyDescent="0.25">
      <c r="A34" s="10" t="s">
        <v>12</v>
      </c>
      <c r="B34" s="10" t="s">
        <v>1</v>
      </c>
      <c r="C34" s="2">
        <v>26.160000000000004</v>
      </c>
      <c r="D34" s="1">
        <f t="shared" ref="D34" si="47">C34/C43</f>
        <v>1.8384019395983772E-2</v>
      </c>
      <c r="E34" s="8">
        <f t="shared" ref="E34:E42" si="48">SUMIFS(P:P,$M:$M,$A34)*$D34</f>
        <v>3.7498794073717123</v>
      </c>
      <c r="F34" s="8">
        <f t="shared" ref="F34:F42" si="49">SUMIFS(Q:Q,$M:$M,$A34)*$D34</f>
        <v>3.3555217316808661</v>
      </c>
      <c r="G34" s="8">
        <f t="shared" ref="G34:G42" si="50">SUMIFS(R:R,$M:$M,$A34)*$D34</f>
        <v>3.5011112427705844</v>
      </c>
      <c r="H34" s="8">
        <f t="shared" ref="H34:H42" si="51">SUMIFS(S:S,$M:$M,$A34)*$D34</f>
        <v>4.5753086354629877</v>
      </c>
      <c r="I34" s="8">
        <f t="shared" ref="I34:I42" si="52">SUMIFS(T:T,$M:$M,$A34)*$D34</f>
        <v>4.6430394080134221</v>
      </c>
      <c r="J34" s="8">
        <f t="shared" ref="J34:J42" si="53">SUMIFS(U:U,$M:$M,$A34)*$D34</f>
        <v>5.6463410387838753</v>
      </c>
      <c r="K34" s="15">
        <f t="shared" si="9"/>
        <v>51.649585483479434</v>
      </c>
    </row>
    <row r="35" spans="1:12" x14ac:dyDescent="0.25">
      <c r="A35" s="11" t="s">
        <v>12</v>
      </c>
      <c r="B35" s="11" t="s">
        <v>2</v>
      </c>
      <c r="C35" s="2">
        <v>13.23599999999999</v>
      </c>
      <c r="D35" s="1">
        <f t="shared" ref="D35" si="54">C35/C43</f>
        <v>9.3016391714541655E-3</v>
      </c>
      <c r="E35" s="8">
        <f t="shared" si="48"/>
        <v>1.8973013698766032</v>
      </c>
      <c r="F35" s="8">
        <f t="shared" si="49"/>
        <v>1.6977708578183448</v>
      </c>
      <c r="G35" s="8">
        <f t="shared" si="50"/>
        <v>1.7714338076953904</v>
      </c>
      <c r="H35" s="8">
        <f t="shared" si="51"/>
        <v>2.3149382683099406</v>
      </c>
      <c r="I35" s="8">
        <f t="shared" si="52"/>
        <v>2.3492075536875228</v>
      </c>
      <c r="J35" s="8">
        <f t="shared" si="53"/>
        <v>2.8568413604489029</v>
      </c>
      <c r="K35" s="16">
        <f t="shared" si="9"/>
        <v>26.132794857008154</v>
      </c>
    </row>
    <row r="36" spans="1:12" x14ac:dyDescent="0.25">
      <c r="A36" s="11" t="s">
        <v>12</v>
      </c>
      <c r="B36" s="11" t="s">
        <v>3</v>
      </c>
      <c r="C36" s="2">
        <v>0.12400000000000003</v>
      </c>
      <c r="D36" s="1">
        <f t="shared" ref="D36" si="55">C36/C43</f>
        <v>8.7141376341819102E-5</v>
      </c>
      <c r="E36" s="8">
        <f t="shared" si="48"/>
        <v>1.7774657741364386E-2</v>
      </c>
      <c r="F36" s="8">
        <f t="shared" si="49"/>
        <v>1.5905378238854257E-2</v>
      </c>
      <c r="G36" s="8">
        <f t="shared" si="50"/>
        <v>1.6595481425976777E-2</v>
      </c>
      <c r="H36" s="8">
        <f t="shared" si="51"/>
        <v>2.1687242767485109E-2</v>
      </c>
      <c r="I36" s="8">
        <f t="shared" si="52"/>
        <v>2.2008290771929062E-2</v>
      </c>
      <c r="J36" s="8">
        <f t="shared" si="53"/>
        <v>2.6764001865795126E-2</v>
      </c>
      <c r="K36" s="16">
        <f t="shared" si="9"/>
        <v>0.24482219418774659</v>
      </c>
    </row>
    <row r="37" spans="1:12" x14ac:dyDescent="0.25">
      <c r="A37" s="11" t="s">
        <v>12</v>
      </c>
      <c r="B37" s="11" t="s">
        <v>4</v>
      </c>
      <c r="C37" s="2">
        <v>0</v>
      </c>
      <c r="D37" s="1">
        <f t="shared" ref="D37" si="56">C37/C43</f>
        <v>0</v>
      </c>
      <c r="E37" s="8">
        <f t="shared" si="48"/>
        <v>0</v>
      </c>
      <c r="F37" s="8">
        <f t="shared" si="49"/>
        <v>0</v>
      </c>
      <c r="G37" s="8">
        <f t="shared" si="50"/>
        <v>0</v>
      </c>
      <c r="H37" s="8">
        <f t="shared" si="51"/>
        <v>0</v>
      </c>
      <c r="I37" s="8">
        <f t="shared" si="52"/>
        <v>0</v>
      </c>
      <c r="J37" s="8">
        <f t="shared" si="53"/>
        <v>0</v>
      </c>
      <c r="K37" s="16">
        <f t="shared" si="9"/>
        <v>0</v>
      </c>
    </row>
    <row r="38" spans="1:12" x14ac:dyDescent="0.25">
      <c r="A38" s="11" t="s">
        <v>12</v>
      </c>
      <c r="B38" s="11" t="s">
        <v>5</v>
      </c>
      <c r="C38" s="2">
        <v>0</v>
      </c>
      <c r="D38" s="1">
        <f t="shared" ref="D38" si="57">C38/C43</f>
        <v>0</v>
      </c>
      <c r="E38" s="8">
        <f t="shared" si="48"/>
        <v>0</v>
      </c>
      <c r="F38" s="8">
        <f t="shared" si="49"/>
        <v>0</v>
      </c>
      <c r="G38" s="8">
        <f t="shared" si="50"/>
        <v>0</v>
      </c>
      <c r="H38" s="8">
        <f t="shared" si="51"/>
        <v>0</v>
      </c>
      <c r="I38" s="8">
        <f t="shared" si="52"/>
        <v>0</v>
      </c>
      <c r="J38" s="8">
        <f t="shared" si="53"/>
        <v>0</v>
      </c>
      <c r="K38" s="16">
        <f t="shared" si="9"/>
        <v>0</v>
      </c>
    </row>
    <row r="39" spans="1:12" x14ac:dyDescent="0.25">
      <c r="A39" s="11" t="s">
        <v>12</v>
      </c>
      <c r="B39" s="11" t="s">
        <v>6</v>
      </c>
      <c r="C39" s="2">
        <v>305.69999999999993</v>
      </c>
      <c r="D39" s="1">
        <v>0.30593295950847316</v>
      </c>
      <c r="E39" s="8">
        <f t="shared" si="48"/>
        <v>62.40265962446334</v>
      </c>
      <c r="F39" s="8">
        <f t="shared" si="49"/>
        <v>55.840057169020966</v>
      </c>
      <c r="G39" s="8">
        <f t="shared" si="50"/>
        <v>58.262847802651379</v>
      </c>
      <c r="H39" s="8">
        <f t="shared" si="51"/>
        <v>76.138829129915777</v>
      </c>
      <c r="I39" s="8">
        <f t="shared" si="52"/>
        <v>77.265953468169911</v>
      </c>
      <c r="J39" s="8">
        <f t="shared" si="53"/>
        <v>93.962141095579511</v>
      </c>
      <c r="K39" s="16">
        <f t="shared" si="9"/>
        <v>729.87842124930921</v>
      </c>
      <c r="L39" s="19"/>
    </row>
    <row r="40" spans="1:12" x14ac:dyDescent="0.25">
      <c r="A40" s="11" t="s">
        <v>12</v>
      </c>
      <c r="B40" s="11" t="s">
        <v>7</v>
      </c>
      <c r="C40" s="2">
        <v>1077.75</v>
      </c>
      <c r="D40" s="1">
        <v>0.66629072678257195</v>
      </c>
      <c r="E40" s="8">
        <f t="shared" si="48"/>
        <v>135.90661660368627</v>
      </c>
      <c r="F40" s="8">
        <f t="shared" si="49"/>
        <v>121.6139389966477</v>
      </c>
      <c r="G40" s="8">
        <f t="shared" si="50"/>
        <v>126.89052944547414</v>
      </c>
      <c r="H40" s="8">
        <f t="shared" si="51"/>
        <v>165.82259027877186</v>
      </c>
      <c r="I40" s="8">
        <f t="shared" si="52"/>
        <v>168.2773519223563</v>
      </c>
      <c r="J40" s="8">
        <f t="shared" si="53"/>
        <v>204.63994262405157</v>
      </c>
      <c r="K40" s="16">
        <f t="shared" si="9"/>
        <v>2001.5672605977704</v>
      </c>
    </row>
    <row r="41" spans="1:12" x14ac:dyDescent="0.25">
      <c r="A41" s="11" t="s">
        <v>12</v>
      </c>
      <c r="B41" s="11" t="s">
        <v>8</v>
      </c>
      <c r="C41" s="2">
        <v>0</v>
      </c>
      <c r="D41" s="1">
        <f t="shared" ref="D41" si="58">C41/C43</f>
        <v>0</v>
      </c>
      <c r="E41" s="8">
        <f t="shared" si="48"/>
        <v>0</v>
      </c>
      <c r="F41" s="8">
        <f t="shared" si="49"/>
        <v>0</v>
      </c>
      <c r="G41" s="8">
        <f t="shared" si="50"/>
        <v>0</v>
      </c>
      <c r="H41" s="8">
        <f t="shared" si="51"/>
        <v>0</v>
      </c>
      <c r="I41" s="8">
        <f t="shared" si="52"/>
        <v>0</v>
      </c>
      <c r="J41" s="8">
        <f t="shared" si="53"/>
        <v>0</v>
      </c>
      <c r="K41" s="16">
        <f t="shared" si="9"/>
        <v>0</v>
      </c>
    </row>
    <row r="42" spans="1:12" x14ac:dyDescent="0.25">
      <c r="A42" s="12" t="s">
        <v>12</v>
      </c>
      <c r="B42" s="12" t="s">
        <v>9</v>
      </c>
      <c r="C42" s="2">
        <v>5.0000000000000001E-3</v>
      </c>
      <c r="D42" s="1">
        <f t="shared" ref="D42" si="59">C42/C43</f>
        <v>3.5137651750733502E-6</v>
      </c>
      <c r="E42" s="8">
        <f t="shared" si="48"/>
        <v>7.1672007021630576E-4</v>
      </c>
      <c r="F42" s="8">
        <f t="shared" si="49"/>
        <v>6.4134589672799414E-4</v>
      </c>
      <c r="G42" s="8">
        <f t="shared" si="50"/>
        <v>6.6917263814422474E-4</v>
      </c>
      <c r="H42" s="8">
        <f t="shared" si="51"/>
        <v>8.7448559546310909E-4</v>
      </c>
      <c r="I42" s="8">
        <f t="shared" si="52"/>
        <v>8.8743107951326852E-4</v>
      </c>
      <c r="J42" s="8">
        <f t="shared" si="53"/>
        <v>1.0791936236207711E-3</v>
      </c>
      <c r="K42" s="17">
        <f t="shared" si="9"/>
        <v>9.8718626688607466E-3</v>
      </c>
    </row>
    <row r="43" spans="1:12" x14ac:dyDescent="0.25">
      <c r="B43" s="19">
        <f>1-D43</f>
        <v>0</v>
      </c>
      <c r="C43" s="3">
        <v>1422.9749999999999</v>
      </c>
      <c r="D43" s="5">
        <f t="shared" ref="D43:E43" si="60">SUM(D34:D42)</f>
        <v>0.99999999999999989</v>
      </c>
      <c r="E43" s="9">
        <f t="shared" si="60"/>
        <v>203.97494838320949</v>
      </c>
      <c r="F43" s="9">
        <f t="shared" ref="F43" si="61">SUM(F34:F42)</f>
        <v>182.52383547930344</v>
      </c>
      <c r="G43" s="9">
        <f t="shared" ref="G43" si="62">SUM(G34:G42)</f>
        <v>190.44318695265562</v>
      </c>
      <c r="H43" s="9">
        <f t="shared" ref="H43" si="63">SUM(H34:H42)</f>
        <v>248.87422804082351</v>
      </c>
      <c r="I43" s="9">
        <f t="shared" ref="I43" si="64">SUM(I34:I42)</f>
        <v>252.5584480740786</v>
      </c>
      <c r="J43" s="9">
        <f t="shared" ref="J43" si="65">SUM(J34:J42)</f>
        <v>307.13310931435331</v>
      </c>
      <c r="K43" s="18">
        <f t="shared" si="9"/>
        <v>2809.4827562444243</v>
      </c>
    </row>
    <row r="44" spans="1:12" x14ac:dyDescent="0.25">
      <c r="A44" s="10" t="s">
        <v>13</v>
      </c>
      <c r="B44" s="10" t="s">
        <v>1</v>
      </c>
      <c r="C44" s="2">
        <v>22.779999999999987</v>
      </c>
      <c r="D44" s="1">
        <f t="shared" ref="D44" si="66">C44/C53</f>
        <v>1.3703879497299825E-2</v>
      </c>
      <c r="E44" s="8">
        <f t="shared" ref="E44:E52" si="67">SUMIFS(P:P,$M:$M,$A44)*$D44</f>
        <v>3.2653766399054875</v>
      </c>
      <c r="F44" s="8">
        <f t="shared" ref="F44:F52" si="68">SUMIFS(Q:Q,$M:$M,$A44)*$D44</f>
        <v>2.9219719054927396</v>
      </c>
      <c r="G44" s="8">
        <f t="shared" ref="G44:G52" si="69">SUMIFS(R:R,$M:$M,$A44)*$D44</f>
        <v>3.048750539385086</v>
      </c>
      <c r="H44" s="8">
        <f t="shared" ref="H44:H52" si="70">SUMIFS(S:S,$M:$M,$A44)*$D44</f>
        <v>3.9841563729299225</v>
      </c>
      <c r="I44" s="8">
        <f t="shared" ref="I44:I52" si="71">SUMIFS(T:T,$M:$M,$A44)*$D44</f>
        <v>4.0431359982624491</v>
      </c>
      <c r="J44" s="8">
        <f t="shared" ref="J44:J52" si="72">SUMIFS(U:U,$M:$M,$A44)*$D44</f>
        <v>4.9168061492162298</v>
      </c>
      <c r="K44" s="15">
        <f t="shared" si="9"/>
        <v>44.9739014846892</v>
      </c>
    </row>
    <row r="45" spans="1:12" x14ac:dyDescent="0.25">
      <c r="A45" s="11" t="s">
        <v>13</v>
      </c>
      <c r="B45" s="11" t="s">
        <v>2</v>
      </c>
      <c r="C45" s="2">
        <v>27.187999999999967</v>
      </c>
      <c r="D45" s="1">
        <f t="shared" ref="D45" si="73">C45/C53</f>
        <v>1.6355622290280397E-2</v>
      </c>
      <c r="E45" s="8">
        <f t="shared" si="67"/>
        <v>3.8972370538081802</v>
      </c>
      <c r="F45" s="8">
        <f t="shared" si="68"/>
        <v>3.487382448048137</v>
      </c>
      <c r="G45" s="8">
        <f t="shared" si="69"/>
        <v>3.6386931371730324</v>
      </c>
      <c r="H45" s="8">
        <f t="shared" si="70"/>
        <v>4.7551028738901966</v>
      </c>
      <c r="I45" s="8">
        <f t="shared" si="71"/>
        <v>4.8254952379613441</v>
      </c>
      <c r="J45" s="8">
        <f t="shared" si="72"/>
        <v>5.868223247800298</v>
      </c>
      <c r="K45" s="16">
        <f t="shared" si="9"/>
        <v>53.676489620971438</v>
      </c>
    </row>
    <row r="46" spans="1:12" x14ac:dyDescent="0.25">
      <c r="A46" s="11" t="s">
        <v>13</v>
      </c>
      <c r="B46" s="11" t="s">
        <v>3</v>
      </c>
      <c r="C46" s="2">
        <v>0.28600000000000009</v>
      </c>
      <c r="D46" s="1">
        <f t="shared" ref="D46" si="74">C46/C53</f>
        <v>1.7205046252097251E-4</v>
      </c>
      <c r="E46" s="8">
        <f t="shared" si="67"/>
        <v>4.099638801637271E-2</v>
      </c>
      <c r="F46" s="8">
        <f t="shared" si="68"/>
        <v>3.6684985292841275E-2</v>
      </c>
      <c r="G46" s="8">
        <f t="shared" si="69"/>
        <v>3.8276674901849668E-2</v>
      </c>
      <c r="H46" s="8">
        <f t="shared" si="70"/>
        <v>5.002057606048986E-2</v>
      </c>
      <c r="I46" s="8">
        <f t="shared" si="71"/>
        <v>5.0761057748158984E-2</v>
      </c>
      <c r="J46" s="8">
        <f t="shared" si="72"/>
        <v>6.1729875271108132E-2</v>
      </c>
      <c r="K46" s="16">
        <f t="shared" si="9"/>
        <v>0.56464160775334171</v>
      </c>
    </row>
    <row r="47" spans="1:12" x14ac:dyDescent="0.25">
      <c r="A47" s="11" t="s">
        <v>13</v>
      </c>
      <c r="B47" s="11" t="s">
        <v>4</v>
      </c>
      <c r="C47" s="2">
        <v>0</v>
      </c>
      <c r="D47" s="1">
        <f t="shared" ref="D47" si="75">C47/C53</f>
        <v>0</v>
      </c>
      <c r="E47" s="8">
        <f t="shared" si="67"/>
        <v>0</v>
      </c>
      <c r="F47" s="8">
        <f t="shared" si="68"/>
        <v>0</v>
      </c>
      <c r="G47" s="8">
        <f t="shared" si="69"/>
        <v>0</v>
      </c>
      <c r="H47" s="8">
        <f t="shared" si="70"/>
        <v>0</v>
      </c>
      <c r="I47" s="8">
        <f t="shared" si="71"/>
        <v>0</v>
      </c>
      <c r="J47" s="8">
        <f t="shared" si="72"/>
        <v>0</v>
      </c>
      <c r="K47" s="16">
        <f t="shared" si="9"/>
        <v>0</v>
      </c>
    </row>
    <row r="48" spans="1:12" x14ac:dyDescent="0.25">
      <c r="A48" s="11" t="s">
        <v>13</v>
      </c>
      <c r="B48" s="11" t="s">
        <v>5</v>
      </c>
      <c r="C48" s="2">
        <v>2.1</v>
      </c>
      <c r="D48" s="1">
        <f t="shared" ref="D48" si="76">C48/C53</f>
        <v>1.2633075919372104E-3</v>
      </c>
      <c r="E48" s="8">
        <f t="shared" si="67"/>
        <v>0.30102242949084845</v>
      </c>
      <c r="F48" s="8">
        <f t="shared" si="68"/>
        <v>0.26936527662575754</v>
      </c>
      <c r="G48" s="8">
        <f t="shared" si="69"/>
        <v>0.28105250802057441</v>
      </c>
      <c r="H48" s="8">
        <f t="shared" si="70"/>
        <v>0.36728395009450582</v>
      </c>
      <c r="I48" s="8">
        <f t="shared" si="71"/>
        <v>0.37272105339557288</v>
      </c>
      <c r="J48" s="8">
        <f t="shared" si="72"/>
        <v>0.45326132192072388</v>
      </c>
      <c r="K48" s="16">
        <f t="shared" si="9"/>
        <v>4.14596984713992</v>
      </c>
    </row>
    <row r="49" spans="1:12" x14ac:dyDescent="0.25">
      <c r="A49" s="11" t="s">
        <v>13</v>
      </c>
      <c r="B49" s="11" t="s">
        <v>6</v>
      </c>
      <c r="C49" s="2">
        <v>419.10899999999981</v>
      </c>
      <c r="D49" s="1">
        <v>0.31777318102368818</v>
      </c>
      <c r="E49" s="8">
        <f t="shared" si="67"/>
        <v>75.719370000857396</v>
      </c>
      <c r="F49" s="8">
        <f t="shared" si="68"/>
        <v>67.756309988950889</v>
      </c>
      <c r="G49" s="8">
        <f t="shared" si="69"/>
        <v>70.696123476492616</v>
      </c>
      <c r="H49" s="8">
        <f t="shared" si="70"/>
        <v>92.386834295441801</v>
      </c>
      <c r="I49" s="8">
        <f t="shared" si="71"/>
        <v>93.754486657037305</v>
      </c>
      <c r="J49" s="8">
        <f t="shared" si="72"/>
        <v>114.01363612553139</v>
      </c>
      <c r="K49" s="16">
        <f t="shared" si="9"/>
        <v>933.75353372533493</v>
      </c>
      <c r="L49" s="19"/>
    </row>
    <row r="50" spans="1:12" x14ac:dyDescent="0.25">
      <c r="A50" s="11" t="s">
        <v>13</v>
      </c>
      <c r="B50" s="11" t="s">
        <v>7</v>
      </c>
      <c r="C50" s="2">
        <v>1190.8399999999999</v>
      </c>
      <c r="D50" s="1">
        <v>0.6507319591342734</v>
      </c>
      <c r="E50" s="8">
        <f t="shared" si="67"/>
        <v>155.05718206407681</v>
      </c>
      <c r="F50" s="8">
        <f t="shared" si="68"/>
        <v>138.75052702931654</v>
      </c>
      <c r="G50" s="8">
        <f t="shared" si="69"/>
        <v>144.77064044503865</v>
      </c>
      <c r="H50" s="8">
        <f t="shared" si="70"/>
        <v>189.18860769060555</v>
      </c>
      <c r="I50" s="8">
        <f t="shared" si="71"/>
        <v>191.9892691492241</v>
      </c>
      <c r="J50" s="8">
        <f t="shared" si="72"/>
        <v>233.47570290539591</v>
      </c>
      <c r="K50" s="16">
        <f t="shared" si="9"/>
        <v>2244.7226612427917</v>
      </c>
    </row>
    <row r="51" spans="1:12" x14ac:dyDescent="0.25">
      <c r="A51" s="11" t="s">
        <v>13</v>
      </c>
      <c r="B51" s="11" t="s">
        <v>8</v>
      </c>
      <c r="C51" s="2">
        <v>0</v>
      </c>
      <c r="D51" s="1">
        <f t="shared" ref="D51" si="77">C51/C53</f>
        <v>0</v>
      </c>
      <c r="E51" s="8">
        <f t="shared" si="67"/>
        <v>0</v>
      </c>
      <c r="F51" s="8">
        <f t="shared" si="68"/>
        <v>0</v>
      </c>
      <c r="G51" s="8">
        <f t="shared" si="69"/>
        <v>0</v>
      </c>
      <c r="H51" s="8">
        <f t="shared" si="70"/>
        <v>0</v>
      </c>
      <c r="I51" s="8">
        <f t="shared" si="71"/>
        <v>0</v>
      </c>
      <c r="J51" s="8">
        <f t="shared" si="72"/>
        <v>0</v>
      </c>
      <c r="K51" s="16">
        <f t="shared" si="9"/>
        <v>0</v>
      </c>
    </row>
    <row r="52" spans="1:12" x14ac:dyDescent="0.25">
      <c r="A52" s="12" t="s">
        <v>13</v>
      </c>
      <c r="B52" s="12" t="s">
        <v>9</v>
      </c>
      <c r="C52" s="2">
        <v>0</v>
      </c>
      <c r="D52" s="1">
        <f t="shared" ref="D52" si="78">C52/C53</f>
        <v>0</v>
      </c>
      <c r="E52" s="8">
        <f t="shared" si="67"/>
        <v>0</v>
      </c>
      <c r="F52" s="8">
        <f t="shared" si="68"/>
        <v>0</v>
      </c>
      <c r="G52" s="8">
        <f t="shared" si="69"/>
        <v>0</v>
      </c>
      <c r="H52" s="8">
        <f t="shared" si="70"/>
        <v>0</v>
      </c>
      <c r="I52" s="8">
        <f t="shared" si="71"/>
        <v>0</v>
      </c>
      <c r="J52" s="8">
        <f t="shared" si="72"/>
        <v>0</v>
      </c>
      <c r="K52" s="17">
        <f t="shared" si="9"/>
        <v>0</v>
      </c>
    </row>
    <row r="53" spans="1:12" x14ac:dyDescent="0.25">
      <c r="B53" s="19">
        <f>1-D53</f>
        <v>0</v>
      </c>
      <c r="C53" s="3">
        <v>1662.3029999999997</v>
      </c>
      <c r="D53" s="5">
        <f t="shared" ref="D53:E53" si="79">SUM(D44:D52)</f>
        <v>1</v>
      </c>
      <c r="E53" s="9">
        <f t="shared" si="79"/>
        <v>238.28118457615511</v>
      </c>
      <c r="F53" s="9">
        <f t="shared" ref="F53" si="80">SUM(F44:F52)</f>
        <v>213.22224163372692</v>
      </c>
      <c r="G53" s="9">
        <f t="shared" ref="G53" si="81">SUM(G44:G52)</f>
        <v>222.47353678101183</v>
      </c>
      <c r="H53" s="9">
        <f t="shared" ref="H53" si="82">SUM(H44:H52)</f>
        <v>290.73200575902246</v>
      </c>
      <c r="I53" s="9">
        <f t="shared" ref="I53" si="83">SUM(I44:I52)</f>
        <v>295.03586915362894</v>
      </c>
      <c r="J53" s="9">
        <f t="shared" ref="J53" si="84">SUM(J44:J52)</f>
        <v>358.78935962513566</v>
      </c>
      <c r="K53" s="18">
        <f t="shared" si="9"/>
        <v>3281.83719752868</v>
      </c>
    </row>
    <row r="54" spans="1:12" x14ac:dyDescent="0.25">
      <c r="A54" s="10" t="s">
        <v>14</v>
      </c>
      <c r="B54" s="10" t="s">
        <v>1</v>
      </c>
      <c r="C54" s="2">
        <v>54.040000000000006</v>
      </c>
      <c r="D54" s="1">
        <f t="shared" ref="D54" si="85">C54/C63</f>
        <v>2.6444152142935447E-2</v>
      </c>
      <c r="E54" s="8">
        <f t="shared" ref="E54:E62" si="86">SUMIFS(P:P,$M:$M,$A54)*$D54</f>
        <v>7.7463105188978343</v>
      </c>
      <c r="F54" s="8">
        <f t="shared" ref="F54:F62" si="87">SUMIFS(Q:Q,$M:$M,$A54)*$D54</f>
        <v>6.9316664518361613</v>
      </c>
      <c r="G54" s="8">
        <f t="shared" ref="G54:G62" si="88">SUMIFS(R:R,$M:$M,$A54)*$D54</f>
        <v>7.2324178730627811</v>
      </c>
      <c r="H54" s="8">
        <f t="shared" ref="H54:H62" si="89">SUMIFS(S:S,$M:$M,$A54)*$D54</f>
        <v>9.451440315765284</v>
      </c>
      <c r="I54" s="8">
        <f t="shared" ref="I54:I62" si="90">SUMIFS(T:T,$M:$M,$A54)*$D54</f>
        <v>9.5913551073794086</v>
      </c>
      <c r="J54" s="8">
        <f t="shared" ref="J54:J62" si="91">SUMIFS(U:U,$M:$M,$A54)*$D54</f>
        <v>11.663924684093296</v>
      </c>
      <c r="K54" s="15">
        <f t="shared" si="9"/>
        <v>106.68355910317771</v>
      </c>
    </row>
    <row r="55" spans="1:12" x14ac:dyDescent="0.25">
      <c r="A55" s="11" t="s">
        <v>14</v>
      </c>
      <c r="B55" s="11" t="s">
        <v>2</v>
      </c>
      <c r="C55" s="2">
        <v>31.033999999999992</v>
      </c>
      <c r="D55" s="1">
        <f t="shared" ref="D55" si="92">C55/C63</f>
        <v>1.5186303064468141E-2</v>
      </c>
      <c r="E55" s="8">
        <f t="shared" si="86"/>
        <v>4.4485381318185659</v>
      </c>
      <c r="F55" s="8">
        <f t="shared" si="87"/>
        <v>3.9807057118113125</v>
      </c>
      <c r="G55" s="8">
        <f t="shared" si="88"/>
        <v>4.1534207304335728</v>
      </c>
      <c r="H55" s="8">
        <f t="shared" si="89"/>
        <v>5.4277571939204234</v>
      </c>
      <c r="I55" s="8">
        <f t="shared" si="90"/>
        <v>5.5081072243229539</v>
      </c>
      <c r="J55" s="8">
        <f t="shared" si="91"/>
        <v>6.6983389830893998</v>
      </c>
      <c r="K55" s="16">
        <f t="shared" si="9"/>
        <v>61.266054278460686</v>
      </c>
    </row>
    <row r="56" spans="1:12" x14ac:dyDescent="0.25">
      <c r="A56" s="11" t="s">
        <v>14</v>
      </c>
      <c r="B56" s="11" t="s">
        <v>3</v>
      </c>
      <c r="C56" s="2">
        <v>0.20300000000000001</v>
      </c>
      <c r="D56" s="1">
        <f t="shared" ref="D56" si="93">C56/C63</f>
        <v>9.933684095144143E-5</v>
      </c>
      <c r="E56" s="8">
        <f t="shared" si="86"/>
        <v>2.9098834850782015E-2</v>
      </c>
      <c r="F56" s="8">
        <f t="shared" si="87"/>
        <v>2.6038643407156559E-2</v>
      </c>
      <c r="G56" s="8">
        <f t="shared" si="88"/>
        <v>2.716840910865552E-2</v>
      </c>
      <c r="H56" s="8">
        <f t="shared" si="89"/>
        <v>3.5504115175802223E-2</v>
      </c>
      <c r="I56" s="8">
        <f t="shared" si="90"/>
        <v>3.6029701828238704E-2</v>
      </c>
      <c r="J56" s="8">
        <f t="shared" si="91"/>
        <v>4.3815261119003301E-2</v>
      </c>
      <c r="K56" s="16">
        <f t="shared" si="9"/>
        <v>0.40075430233058984</v>
      </c>
    </row>
    <row r="57" spans="1:12" x14ac:dyDescent="0.25">
      <c r="A57" s="11" t="s">
        <v>14</v>
      </c>
      <c r="B57" s="11" t="s">
        <v>4</v>
      </c>
      <c r="C57" s="2">
        <v>0</v>
      </c>
      <c r="D57" s="1">
        <f t="shared" ref="D57" si="94">C57/C63</f>
        <v>0</v>
      </c>
      <c r="E57" s="8">
        <f t="shared" si="86"/>
        <v>0</v>
      </c>
      <c r="F57" s="8">
        <f t="shared" si="87"/>
        <v>0</v>
      </c>
      <c r="G57" s="8">
        <f t="shared" si="88"/>
        <v>0</v>
      </c>
      <c r="H57" s="8">
        <f t="shared" si="89"/>
        <v>0</v>
      </c>
      <c r="I57" s="8">
        <f t="shared" si="90"/>
        <v>0</v>
      </c>
      <c r="J57" s="8">
        <f t="shared" si="91"/>
        <v>0</v>
      </c>
      <c r="K57" s="16">
        <f t="shared" si="9"/>
        <v>0</v>
      </c>
    </row>
    <row r="58" spans="1:12" x14ac:dyDescent="0.25">
      <c r="A58" s="11" t="s">
        <v>14</v>
      </c>
      <c r="B58" s="11" t="s">
        <v>5</v>
      </c>
      <c r="C58" s="2">
        <v>1.6250000000000002</v>
      </c>
      <c r="D58" s="1">
        <f t="shared" ref="D58" si="95">C58/C63</f>
        <v>7.9518407165562728E-4</v>
      </c>
      <c r="E58" s="8">
        <f t="shared" si="86"/>
        <v>0.2329340228202994</v>
      </c>
      <c r="F58" s="8">
        <f t="shared" si="87"/>
        <v>0.20843741643659808</v>
      </c>
      <c r="G58" s="8">
        <f t="shared" si="88"/>
        <v>0.21748110739687304</v>
      </c>
      <c r="H58" s="8">
        <f t="shared" si="89"/>
        <v>0.28420781852551047</v>
      </c>
      <c r="I58" s="8">
        <f t="shared" si="90"/>
        <v>0.28841510084181232</v>
      </c>
      <c r="J58" s="8">
        <f t="shared" si="91"/>
        <v>0.3507379276767506</v>
      </c>
      <c r="K58" s="16">
        <f t="shared" si="9"/>
        <v>3.2080085777694998</v>
      </c>
    </row>
    <row r="59" spans="1:12" x14ac:dyDescent="0.25">
      <c r="A59" s="11" t="s">
        <v>14</v>
      </c>
      <c r="B59" s="11" t="s">
        <v>6</v>
      </c>
      <c r="C59" s="2">
        <v>610.19999999999936</v>
      </c>
      <c r="D59" s="1">
        <v>0.36107737928507372</v>
      </c>
      <c r="E59" s="8">
        <f t="shared" si="86"/>
        <v>105.77073850481732</v>
      </c>
      <c r="F59" s="8">
        <f t="shared" si="87"/>
        <v>94.647313439236413</v>
      </c>
      <c r="G59" s="8">
        <f t="shared" si="88"/>
        <v>98.753874859916351</v>
      </c>
      <c r="H59" s="8">
        <f t="shared" si="89"/>
        <v>129.05315629858532</v>
      </c>
      <c r="I59" s="8">
        <f t="shared" si="90"/>
        <v>130.96360008994515</v>
      </c>
      <c r="J59" s="8">
        <f t="shared" si="91"/>
        <v>159.26316466289168</v>
      </c>
      <c r="K59" s="16">
        <f t="shared" si="9"/>
        <v>1329.0129252346769</v>
      </c>
      <c r="L59" s="19"/>
    </row>
    <row r="60" spans="1:12" x14ac:dyDescent="0.25">
      <c r="A60" s="11" t="s">
        <v>14</v>
      </c>
      <c r="B60" s="11" t="s">
        <v>7</v>
      </c>
      <c r="C60" s="2">
        <v>1346.4500000000003</v>
      </c>
      <c r="D60" s="1">
        <v>0.59639764459491562</v>
      </c>
      <c r="E60" s="8">
        <f t="shared" si="86"/>
        <v>174.7033265729296</v>
      </c>
      <c r="F60" s="8">
        <f t="shared" si="87"/>
        <v>156.33057632732945</v>
      </c>
      <c r="G60" s="8">
        <f t="shared" si="88"/>
        <v>163.11345362506302</v>
      </c>
      <c r="H60" s="8">
        <f t="shared" si="89"/>
        <v>213.15929177399306</v>
      </c>
      <c r="I60" s="8">
        <f t="shared" si="90"/>
        <v>216.31480425598218</v>
      </c>
      <c r="J60" s="8">
        <f t="shared" si="91"/>
        <v>263.05767606862452</v>
      </c>
      <c r="K60" s="16">
        <f t="shared" si="9"/>
        <v>2533.7255262685171</v>
      </c>
    </row>
    <row r="61" spans="1:12" x14ac:dyDescent="0.25">
      <c r="A61" s="11" t="s">
        <v>14</v>
      </c>
      <c r="B61" s="11" t="s">
        <v>8</v>
      </c>
      <c r="C61" s="2">
        <v>0</v>
      </c>
      <c r="D61" s="1">
        <f t="shared" ref="D61" si="96">C61/C63</f>
        <v>0</v>
      </c>
      <c r="E61" s="8">
        <f t="shared" si="86"/>
        <v>0</v>
      </c>
      <c r="F61" s="8">
        <f t="shared" si="87"/>
        <v>0</v>
      </c>
      <c r="G61" s="8">
        <f t="shared" si="88"/>
        <v>0</v>
      </c>
      <c r="H61" s="8">
        <f t="shared" si="89"/>
        <v>0</v>
      </c>
      <c r="I61" s="8">
        <f t="shared" si="90"/>
        <v>0</v>
      </c>
      <c r="J61" s="8">
        <f t="shared" si="91"/>
        <v>0</v>
      </c>
      <c r="K61" s="16">
        <f t="shared" si="9"/>
        <v>0</v>
      </c>
    </row>
    <row r="62" spans="1:12" x14ac:dyDescent="0.25">
      <c r="A62" s="12" t="s">
        <v>14</v>
      </c>
      <c r="B62" s="12" t="s">
        <v>9</v>
      </c>
      <c r="C62" s="2">
        <v>0</v>
      </c>
      <c r="D62" s="1">
        <f t="shared" ref="D62" si="97">C62/C63</f>
        <v>0</v>
      </c>
      <c r="E62" s="8">
        <f t="shared" si="86"/>
        <v>0</v>
      </c>
      <c r="F62" s="8">
        <f t="shared" si="87"/>
        <v>0</v>
      </c>
      <c r="G62" s="8">
        <f t="shared" si="88"/>
        <v>0</v>
      </c>
      <c r="H62" s="8">
        <f t="shared" si="89"/>
        <v>0</v>
      </c>
      <c r="I62" s="8">
        <f t="shared" si="90"/>
        <v>0</v>
      </c>
      <c r="J62" s="8">
        <f t="shared" si="91"/>
        <v>0</v>
      </c>
      <c r="K62" s="17">
        <f t="shared" si="9"/>
        <v>0</v>
      </c>
    </row>
    <row r="63" spans="1:12" x14ac:dyDescent="0.25">
      <c r="B63" s="19">
        <f>1-D63</f>
        <v>0</v>
      </c>
      <c r="C63" s="3">
        <v>2043.5519999999997</v>
      </c>
      <c r="D63" s="5">
        <f t="shared" ref="D63:E63" si="98">SUM(D54:D62)</f>
        <v>1</v>
      </c>
      <c r="E63" s="9">
        <f t="shared" si="98"/>
        <v>292.93094658613438</v>
      </c>
      <c r="F63" s="9">
        <f t="shared" ref="F63" si="99">SUM(F54:F62)</f>
        <v>262.1247379900571</v>
      </c>
      <c r="G63" s="9">
        <f t="shared" ref="G63" si="100">SUM(G54:G62)</f>
        <v>273.49781660498127</v>
      </c>
      <c r="H63" s="9">
        <f t="shared" ref="H63" si="101">SUM(H54:H62)</f>
        <v>357.41135751596539</v>
      </c>
      <c r="I63" s="9">
        <f t="shared" ref="I63" si="102">SUM(I54:I62)</f>
        <v>362.70231148029973</v>
      </c>
      <c r="J63" s="9">
        <f t="shared" ref="J63" si="103">SUM(J54:J62)</f>
        <v>441.07765758749463</v>
      </c>
      <c r="K63" s="18">
        <f t="shared" si="9"/>
        <v>4034.296827764932</v>
      </c>
    </row>
    <row r="64" spans="1:12" x14ac:dyDescent="0.25">
      <c r="A64" s="10" t="s">
        <v>15</v>
      </c>
      <c r="B64" s="10" t="s">
        <v>1</v>
      </c>
      <c r="C64" s="2">
        <v>134.64500000000001</v>
      </c>
      <c r="D64" s="1">
        <f t="shared" ref="D64" si="104">C64/C73</f>
        <v>3.4014432052328951E-2</v>
      </c>
      <c r="E64" s="8">
        <f t="shared" ref="E64:E72" si="105">SUMIFS(P:P,$M:$M,$A64)*$D64</f>
        <v>19.300554770854905</v>
      </c>
      <c r="F64" s="8">
        <f t="shared" ref="F64:F72" si="106">SUMIFS(Q:Q,$M:$M,$A64)*$D64</f>
        <v>17.270803652988157</v>
      </c>
      <c r="G64" s="8">
        <f t="shared" ref="G64:G72" si="107">SUMIFS(R:R,$M:$M,$A64)*$D64</f>
        <v>18.020149972585831</v>
      </c>
      <c r="H64" s="8">
        <f t="shared" ref="H64:H72" si="108">SUMIFS(S:S,$M:$M,$A64)*$D64</f>
        <v>23.549022600226071</v>
      </c>
      <c r="I64" s="8">
        <f t="shared" ref="I64:I72" si="109">SUMIFS(T:T,$M:$M,$A64)*$D64</f>
        <v>23.89763154021281</v>
      </c>
      <c r="J64" s="8">
        <f t="shared" ref="J64:J72" si="110">SUMIFS(U:U,$M:$M,$A64)*$D64</f>
        <v>29.061605090483749</v>
      </c>
      <c r="K64" s="15">
        <f t="shared" si="9"/>
        <v>265.77878205940385</v>
      </c>
    </row>
    <row r="65" spans="1:12" x14ac:dyDescent="0.25">
      <c r="A65" s="11" t="s">
        <v>15</v>
      </c>
      <c r="B65" s="11" t="s">
        <v>2</v>
      </c>
      <c r="C65" s="2">
        <v>69.476800000000125</v>
      </c>
      <c r="D65" s="1">
        <f t="shared" ref="D65" si="111">C65/C73</f>
        <v>1.7551441886540547E-2</v>
      </c>
      <c r="E65" s="8">
        <f t="shared" si="105"/>
        <v>9.9590833948808655</v>
      </c>
      <c r="F65" s="8">
        <f t="shared" si="106"/>
        <v>8.9117321195583159</v>
      </c>
      <c r="G65" s="8">
        <f t="shared" si="107"/>
        <v>9.29839470916375</v>
      </c>
      <c r="H65" s="8">
        <f t="shared" si="108"/>
        <v>12.15129216377429</v>
      </c>
      <c r="I65" s="8">
        <f t="shared" si="109"/>
        <v>12.331174325025513</v>
      </c>
      <c r="J65" s="8">
        <f t="shared" si="110"/>
        <v>14.995783909915145</v>
      </c>
      <c r="K65" s="16">
        <f t="shared" si="9"/>
        <v>137.14181206420454</v>
      </c>
    </row>
    <row r="66" spans="1:12" x14ac:dyDescent="0.25">
      <c r="A66" s="11" t="s">
        <v>15</v>
      </c>
      <c r="B66" s="11" t="s">
        <v>3</v>
      </c>
      <c r="C66" s="2">
        <v>0.68300000000000027</v>
      </c>
      <c r="D66" s="1">
        <f t="shared" ref="D66" si="112">C66/C73</f>
        <v>1.7254155068320903E-4</v>
      </c>
      <c r="E66" s="8">
        <f t="shared" si="105"/>
        <v>9.790396159154742E-2</v>
      </c>
      <c r="F66" s="8">
        <f t="shared" si="106"/>
        <v>8.7607849493044038E-2</v>
      </c>
      <c r="G66" s="8">
        <f t="shared" si="107"/>
        <v>9.140898237050113E-2</v>
      </c>
      <c r="H66" s="8">
        <f t="shared" si="108"/>
        <v>0.11945473234026076</v>
      </c>
      <c r="I66" s="8">
        <f t="shared" si="109"/>
        <v>0.12122308546151253</v>
      </c>
      <c r="J66" s="8">
        <f t="shared" si="110"/>
        <v>0.14741784898659741</v>
      </c>
      <c r="K66" s="16">
        <f t="shared" si="9"/>
        <v>1.3481890017941469</v>
      </c>
    </row>
    <row r="67" spans="1:12" x14ac:dyDescent="0.25">
      <c r="A67" s="11" t="s">
        <v>15</v>
      </c>
      <c r="B67" s="11" t="s">
        <v>4</v>
      </c>
      <c r="C67" s="2">
        <v>0</v>
      </c>
      <c r="D67" s="1">
        <f t="shared" ref="D67" si="113">C67/C73</f>
        <v>0</v>
      </c>
      <c r="E67" s="8">
        <f t="shared" si="105"/>
        <v>0</v>
      </c>
      <c r="F67" s="8">
        <f t="shared" si="106"/>
        <v>0</v>
      </c>
      <c r="G67" s="8">
        <f t="shared" si="107"/>
        <v>0</v>
      </c>
      <c r="H67" s="8">
        <f t="shared" si="108"/>
        <v>0</v>
      </c>
      <c r="I67" s="8">
        <f t="shared" si="109"/>
        <v>0</v>
      </c>
      <c r="J67" s="8">
        <f t="shared" si="110"/>
        <v>0</v>
      </c>
      <c r="K67" s="16">
        <f t="shared" si="9"/>
        <v>0</v>
      </c>
    </row>
    <row r="68" spans="1:12" x14ac:dyDescent="0.25">
      <c r="A68" s="11" t="s">
        <v>15</v>
      </c>
      <c r="B68" s="11" t="s">
        <v>5</v>
      </c>
      <c r="C68" s="2">
        <v>3.975000000000001</v>
      </c>
      <c r="D68" s="1">
        <f t="shared" ref="D68" si="114">C68/C73</f>
        <v>1.0041766675926145E-3</v>
      </c>
      <c r="E68" s="8">
        <f t="shared" si="105"/>
        <v>0.56979245582196325</v>
      </c>
      <c r="F68" s="8">
        <f t="shared" si="106"/>
        <v>0.50986998789875537</v>
      </c>
      <c r="G68" s="8">
        <f t="shared" si="107"/>
        <v>0.53199224732465877</v>
      </c>
      <c r="H68" s="8">
        <f t="shared" si="108"/>
        <v>0.69521604839317186</v>
      </c>
      <c r="I68" s="8">
        <f t="shared" si="109"/>
        <v>0.70550770821304853</v>
      </c>
      <c r="J68" s="8">
        <f t="shared" si="110"/>
        <v>0.85795893077851315</v>
      </c>
      <c r="K68" s="16">
        <f t="shared" si="9"/>
        <v>7.8463415550977045</v>
      </c>
    </row>
    <row r="69" spans="1:12" x14ac:dyDescent="0.25">
      <c r="A69" s="11" t="s">
        <v>15</v>
      </c>
      <c r="B69" s="11" t="s">
        <v>6</v>
      </c>
      <c r="C69" s="2">
        <v>927.41999999999985</v>
      </c>
      <c r="D69" s="1">
        <v>0.38371283734012818</v>
      </c>
      <c r="E69" s="8">
        <f t="shared" si="105"/>
        <v>217.72730533821178</v>
      </c>
      <c r="F69" s="8">
        <f t="shared" si="106"/>
        <v>194.82991991861252</v>
      </c>
      <c r="G69" s="8">
        <f t="shared" si="107"/>
        <v>203.28320827576792</v>
      </c>
      <c r="H69" s="8">
        <f t="shared" si="108"/>
        <v>265.65377498051902</v>
      </c>
      <c r="I69" s="8">
        <f t="shared" si="109"/>
        <v>269.5863917379782</v>
      </c>
      <c r="J69" s="8">
        <f t="shared" si="110"/>
        <v>327.84057454707101</v>
      </c>
      <c r="K69" s="16">
        <f t="shared" ref="K69:K132" si="115">SUM(C69:J69)</f>
        <v>2406.7248876355006</v>
      </c>
      <c r="L69" s="19"/>
    </row>
    <row r="70" spans="1:12" x14ac:dyDescent="0.25">
      <c r="A70" s="11" t="s">
        <v>15</v>
      </c>
      <c r="B70" s="11" t="s">
        <v>7</v>
      </c>
      <c r="C70" s="2">
        <v>2822.2370000000001</v>
      </c>
      <c r="D70" s="1">
        <v>0.56353699181089567</v>
      </c>
      <c r="E70" s="8">
        <f t="shared" si="105"/>
        <v>319.76358032720083</v>
      </c>
      <c r="F70" s="8">
        <f t="shared" si="106"/>
        <v>286.1355062988676</v>
      </c>
      <c r="G70" s="8">
        <f t="shared" si="107"/>
        <v>298.55036508942396</v>
      </c>
      <c r="H70" s="8">
        <f t="shared" si="108"/>
        <v>390.15043190496414</v>
      </c>
      <c r="I70" s="8">
        <f t="shared" si="109"/>
        <v>395.92604012491859</v>
      </c>
      <c r="J70" s="8">
        <f t="shared" si="110"/>
        <v>481.48061048592695</v>
      </c>
      <c r="K70" s="16">
        <f t="shared" si="115"/>
        <v>4994.8070712231138</v>
      </c>
    </row>
    <row r="71" spans="1:12" x14ac:dyDescent="0.25">
      <c r="A71" s="11" t="s">
        <v>15</v>
      </c>
      <c r="B71" s="11" t="s">
        <v>8</v>
      </c>
      <c r="C71" s="2">
        <v>0</v>
      </c>
      <c r="D71" s="1">
        <f t="shared" ref="D71" si="116">C71/C73</f>
        <v>0</v>
      </c>
      <c r="E71" s="8">
        <f t="shared" si="105"/>
        <v>0</v>
      </c>
      <c r="F71" s="8">
        <f t="shared" si="106"/>
        <v>0</v>
      </c>
      <c r="G71" s="8">
        <f t="shared" si="107"/>
        <v>0</v>
      </c>
      <c r="H71" s="8">
        <f t="shared" si="108"/>
        <v>0</v>
      </c>
      <c r="I71" s="8">
        <f t="shared" si="109"/>
        <v>0</v>
      </c>
      <c r="J71" s="8">
        <f t="shared" si="110"/>
        <v>0</v>
      </c>
      <c r="K71" s="16">
        <f t="shared" si="115"/>
        <v>0</v>
      </c>
    </row>
    <row r="72" spans="1:12" x14ac:dyDescent="0.25">
      <c r="A72" s="12" t="s">
        <v>15</v>
      </c>
      <c r="B72" s="12" t="s">
        <v>9</v>
      </c>
      <c r="C72" s="2">
        <v>0.03</v>
      </c>
      <c r="D72" s="1">
        <f t="shared" ref="D72" si="117">C72/C73</f>
        <v>7.5786918308876551E-6</v>
      </c>
      <c r="E72" s="8">
        <f t="shared" si="105"/>
        <v>4.300320421297835E-3</v>
      </c>
      <c r="F72" s="8">
        <f t="shared" si="106"/>
        <v>3.8480753803679644E-3</v>
      </c>
      <c r="G72" s="8">
        <f t="shared" si="107"/>
        <v>4.015035828865348E-3</v>
      </c>
      <c r="H72" s="8">
        <f t="shared" si="108"/>
        <v>5.246913572778655E-3</v>
      </c>
      <c r="I72" s="8">
        <f t="shared" si="109"/>
        <v>5.3245864770796111E-3</v>
      </c>
      <c r="J72" s="8">
        <f t="shared" si="110"/>
        <v>6.4751617417246263E-3</v>
      </c>
      <c r="K72" s="17">
        <f t="shared" si="115"/>
        <v>5.9217672113944929E-2</v>
      </c>
    </row>
    <row r="73" spans="1:12" x14ac:dyDescent="0.25">
      <c r="B73" s="19">
        <f>1-D73</f>
        <v>0</v>
      </c>
      <c r="C73" s="3">
        <v>3958.4668000000001</v>
      </c>
      <c r="D73" s="5">
        <f t="shared" ref="D73:E73" si="118">SUM(D64:D72)</f>
        <v>1.0000000000000002</v>
      </c>
      <c r="E73" s="9">
        <f t="shared" si="118"/>
        <v>567.42252056898315</v>
      </c>
      <c r="F73" s="9">
        <f t="shared" ref="F73" si="119">SUM(F64:F72)</f>
        <v>507.74928790279876</v>
      </c>
      <c r="G73" s="9">
        <f t="shared" ref="G73" si="120">SUM(G64:G72)</f>
        <v>529.77953431246544</v>
      </c>
      <c r="H73" s="9">
        <f t="shared" ref="H73" si="121">SUM(H64:H72)</f>
        <v>692.32443934378978</v>
      </c>
      <c r="I73" s="9">
        <f t="shared" ref="I73" si="122">SUM(I64:I72)</f>
        <v>702.57329310828675</v>
      </c>
      <c r="J73" s="9">
        <f t="shared" ref="J73" si="123">SUM(J64:J72)</f>
        <v>854.39042597490368</v>
      </c>
      <c r="K73" s="18">
        <f t="shared" si="115"/>
        <v>7813.7063012112276</v>
      </c>
    </row>
    <row r="74" spans="1:12" x14ac:dyDescent="0.25">
      <c r="A74" s="10" t="s">
        <v>16</v>
      </c>
      <c r="B74" s="10" t="s">
        <v>1</v>
      </c>
      <c r="C74" s="2">
        <v>24.514999999999997</v>
      </c>
      <c r="D74" s="1">
        <f t="shared" ref="D74" si="124">C74/C83</f>
        <v>2.0051217918255811E-2</v>
      </c>
      <c r="E74" s="8">
        <f t="shared" ref="E74:E82" si="125">SUMIFS(P:P,$M:$M,$A74)*$D74</f>
        <v>3.5140785042705467</v>
      </c>
      <c r="F74" s="8">
        <f t="shared" ref="F74:F82" si="126">SUMIFS(Q:Q,$M:$M,$A74)*$D74</f>
        <v>3.1445189316573545</v>
      </c>
      <c r="G74" s="8">
        <f t="shared" ref="G74:G82" si="127">SUMIFS(R:R,$M:$M,$A74)*$D74</f>
        <v>3.2809534448211335</v>
      </c>
      <c r="H74" s="8">
        <f t="shared" ref="H74:H82" si="128">SUMIFS(S:S,$M:$M,$A74)*$D74</f>
        <v>4.2876028745556232</v>
      </c>
      <c r="I74" s="8">
        <f t="shared" ref="I74:I82" si="129">SUMIFS(T:T,$M:$M,$A74)*$D74</f>
        <v>4.3510745828535553</v>
      </c>
      <c r="J74" s="8">
        <f t="shared" ref="J74:J82" si="130">SUMIFS(U:U,$M:$M,$A74)*$D74</f>
        <v>5.2912863366126395</v>
      </c>
      <c r="K74" s="15">
        <f t="shared" si="115"/>
        <v>48.404565892689106</v>
      </c>
    </row>
    <row r="75" spans="1:12" x14ac:dyDescent="0.25">
      <c r="A75" s="11" t="s">
        <v>16</v>
      </c>
      <c r="B75" s="11" t="s">
        <v>2</v>
      </c>
      <c r="C75" s="2">
        <v>18.602999999999966</v>
      </c>
      <c r="D75" s="1">
        <f t="shared" ref="D75" si="131">C75/C83</f>
        <v>1.5215696795158567E-2</v>
      </c>
      <c r="E75" s="8">
        <f t="shared" si="125"/>
        <v>2.6666286932467829</v>
      </c>
      <c r="F75" s="8">
        <f t="shared" si="126"/>
        <v>2.3861915433661705</v>
      </c>
      <c r="G75" s="8">
        <f t="shared" si="127"/>
        <v>2.4897237174793982</v>
      </c>
      <c r="H75" s="8">
        <f t="shared" si="128"/>
        <v>3.2536111064800379</v>
      </c>
      <c r="I75" s="8">
        <f t="shared" si="129"/>
        <v>3.3017760744370612</v>
      </c>
      <c r="J75" s="8">
        <f t="shared" si="130"/>
        <v>4.0152477960434334</v>
      </c>
      <c r="K75" s="16">
        <f t="shared" si="115"/>
        <v>36.731394627848012</v>
      </c>
    </row>
    <row r="76" spans="1:12" x14ac:dyDescent="0.25">
      <c r="A76" s="11" t="s">
        <v>16</v>
      </c>
      <c r="B76" s="11" t="s">
        <v>3</v>
      </c>
      <c r="C76" s="2">
        <v>0.32000000000000006</v>
      </c>
      <c r="D76" s="1">
        <f t="shared" ref="D76" si="132">C76/C83</f>
        <v>2.6173321369944372E-4</v>
      </c>
      <c r="E76" s="8">
        <f t="shared" si="125"/>
        <v>4.5870084493843589E-2</v>
      </c>
      <c r="F76" s="8">
        <f t="shared" si="126"/>
        <v>4.1046137390591639E-2</v>
      </c>
      <c r="G76" s="8">
        <f t="shared" si="127"/>
        <v>4.2827048841230397E-2</v>
      </c>
      <c r="H76" s="8">
        <f t="shared" si="128"/>
        <v>5.5967078109639003E-2</v>
      </c>
      <c r="I76" s="8">
        <f t="shared" si="129"/>
        <v>5.6795589088849206E-2</v>
      </c>
      <c r="J76" s="8">
        <f t="shared" si="130"/>
        <v>6.9068391911729365E-2</v>
      </c>
      <c r="K76" s="16">
        <f t="shared" si="115"/>
        <v>0.63183606304958273</v>
      </c>
    </row>
    <row r="77" spans="1:12" x14ac:dyDescent="0.25">
      <c r="A77" s="11" t="s">
        <v>16</v>
      </c>
      <c r="B77" s="11" t="s">
        <v>4</v>
      </c>
      <c r="C77" s="2">
        <v>0</v>
      </c>
      <c r="D77" s="1">
        <f t="shared" ref="D77" si="133">C77/C83</f>
        <v>0</v>
      </c>
      <c r="E77" s="8">
        <f t="shared" si="125"/>
        <v>0</v>
      </c>
      <c r="F77" s="8">
        <f t="shared" si="126"/>
        <v>0</v>
      </c>
      <c r="G77" s="8">
        <f t="shared" si="127"/>
        <v>0</v>
      </c>
      <c r="H77" s="8">
        <f t="shared" si="128"/>
        <v>0</v>
      </c>
      <c r="I77" s="8">
        <f t="shared" si="129"/>
        <v>0</v>
      </c>
      <c r="J77" s="8">
        <f t="shared" si="130"/>
        <v>0</v>
      </c>
      <c r="K77" s="16">
        <f t="shared" si="115"/>
        <v>0</v>
      </c>
    </row>
    <row r="78" spans="1:12" x14ac:dyDescent="0.25">
      <c r="A78" s="11" t="s">
        <v>16</v>
      </c>
      <c r="B78" s="11" t="s">
        <v>5</v>
      </c>
      <c r="C78" s="2">
        <v>0.8</v>
      </c>
      <c r="D78" s="1">
        <f t="shared" ref="D78" si="134">C78/C83</f>
        <v>6.5433303424860915E-4</v>
      </c>
      <c r="E78" s="8">
        <f t="shared" si="125"/>
        <v>0.11467521123460894</v>
      </c>
      <c r="F78" s="8">
        <f t="shared" si="126"/>
        <v>0.10261534347647906</v>
      </c>
      <c r="G78" s="8">
        <f t="shared" si="127"/>
        <v>0.10706762210307597</v>
      </c>
      <c r="H78" s="8">
        <f t="shared" si="128"/>
        <v>0.13991769527409748</v>
      </c>
      <c r="I78" s="8">
        <f t="shared" si="129"/>
        <v>0.14198897272212299</v>
      </c>
      <c r="J78" s="8">
        <f t="shared" si="130"/>
        <v>0.17267097977932336</v>
      </c>
      <c r="K78" s="16">
        <f t="shared" si="115"/>
        <v>1.5795901576239566</v>
      </c>
    </row>
    <row r="79" spans="1:12" x14ac:dyDescent="0.25">
      <c r="A79" s="11" t="s">
        <v>16</v>
      </c>
      <c r="B79" s="11" t="s">
        <v>6</v>
      </c>
      <c r="C79" s="2">
        <v>309.83799999999997</v>
      </c>
      <c r="D79" s="1">
        <v>0.30709732985357951</v>
      </c>
      <c r="E79" s="8">
        <f t="shared" si="125"/>
        <v>53.820377892098556</v>
      </c>
      <c r="F79" s="8">
        <f t="shared" si="126"/>
        <v>48.160334774816747</v>
      </c>
      <c r="G79" s="8">
        <f t="shared" si="127"/>
        <v>50.249917306076483</v>
      </c>
      <c r="H79" s="8">
        <f t="shared" si="128"/>
        <v>65.66740233019722</v>
      </c>
      <c r="I79" s="8">
        <f t="shared" si="129"/>
        <v>66.639512464305014</v>
      </c>
      <c r="J79" s="8">
        <f t="shared" si="130"/>
        <v>81.039461647116653</v>
      </c>
      <c r="K79" s="16">
        <f t="shared" si="115"/>
        <v>675.72210374446433</v>
      </c>
      <c r="L79" s="19"/>
    </row>
    <row r="80" spans="1:12" x14ac:dyDescent="0.25">
      <c r="A80" s="11" t="s">
        <v>16</v>
      </c>
      <c r="B80" s="11" t="s">
        <v>7</v>
      </c>
      <c r="C80" s="2">
        <v>868.50299999999993</v>
      </c>
      <c r="D80" s="1">
        <v>0.65668697253334563</v>
      </c>
      <c r="E80" s="8">
        <f t="shared" si="125"/>
        <v>115.08775095965181</v>
      </c>
      <c r="F80" s="8">
        <f t="shared" si="126"/>
        <v>102.98449828445548</v>
      </c>
      <c r="G80" s="8">
        <f t="shared" si="127"/>
        <v>107.45279381462427</v>
      </c>
      <c r="H80" s="8">
        <f t="shared" si="128"/>
        <v>140.42104387852183</v>
      </c>
      <c r="I80" s="8">
        <f t="shared" si="129"/>
        <v>142.49977266864383</v>
      </c>
      <c r="J80" s="8">
        <f t="shared" si="130"/>
        <v>173.29215708306788</v>
      </c>
      <c r="K80" s="16">
        <f t="shared" si="115"/>
        <v>1650.8977036614983</v>
      </c>
    </row>
    <row r="81" spans="1:12" x14ac:dyDescent="0.25">
      <c r="A81" s="11" t="s">
        <v>16</v>
      </c>
      <c r="B81" s="11" t="s">
        <v>8</v>
      </c>
      <c r="C81" s="2">
        <v>0</v>
      </c>
      <c r="D81" s="1">
        <f t="shared" ref="D81" si="135">C81/C83</f>
        <v>0</v>
      </c>
      <c r="E81" s="8">
        <f t="shared" si="125"/>
        <v>0</v>
      </c>
      <c r="F81" s="8">
        <f t="shared" si="126"/>
        <v>0</v>
      </c>
      <c r="G81" s="8">
        <f t="shared" si="127"/>
        <v>0</v>
      </c>
      <c r="H81" s="8">
        <f t="shared" si="128"/>
        <v>0</v>
      </c>
      <c r="I81" s="8">
        <f t="shared" si="129"/>
        <v>0</v>
      </c>
      <c r="J81" s="8">
        <f t="shared" si="130"/>
        <v>0</v>
      </c>
      <c r="K81" s="16">
        <f t="shared" si="115"/>
        <v>0</v>
      </c>
    </row>
    <row r="82" spans="1:12" x14ac:dyDescent="0.25">
      <c r="A82" s="12" t="s">
        <v>16</v>
      </c>
      <c r="B82" s="12" t="s">
        <v>9</v>
      </c>
      <c r="C82" s="2">
        <v>0.04</v>
      </c>
      <c r="D82" s="1">
        <f t="shared" ref="D82" si="136">C82/C83</f>
        <v>3.2716651712430458E-5</v>
      </c>
      <c r="E82" s="8">
        <f t="shared" si="125"/>
        <v>5.733760561730447E-3</v>
      </c>
      <c r="F82" s="8">
        <f t="shared" si="126"/>
        <v>5.1307671738239531E-3</v>
      </c>
      <c r="G82" s="8">
        <f t="shared" si="127"/>
        <v>5.3533811051537988E-3</v>
      </c>
      <c r="H82" s="8">
        <f t="shared" si="128"/>
        <v>6.9958847637048736E-3</v>
      </c>
      <c r="I82" s="8">
        <f t="shared" si="129"/>
        <v>7.0994486361061499E-3</v>
      </c>
      <c r="J82" s="8">
        <f t="shared" si="130"/>
        <v>8.6335489889661689E-3</v>
      </c>
      <c r="K82" s="17">
        <f t="shared" si="115"/>
        <v>7.8979507881197814E-2</v>
      </c>
    </row>
    <row r="83" spans="1:12" x14ac:dyDescent="0.25">
      <c r="B83" s="19">
        <f>1-D83</f>
        <v>0</v>
      </c>
      <c r="C83" s="3">
        <v>1222.6189999999997</v>
      </c>
      <c r="D83" s="5">
        <f t="shared" ref="D83:E83" si="137">SUM(D74:D82)</f>
        <v>1</v>
      </c>
      <c r="E83" s="9">
        <f t="shared" si="137"/>
        <v>175.25511510555788</v>
      </c>
      <c r="F83" s="9">
        <f t="shared" ref="F83" si="138">SUM(F74:F82)</f>
        <v>156.82433578233665</v>
      </c>
      <c r="G83" s="9">
        <f t="shared" ref="G83" si="139">SUM(G74:G82)</f>
        <v>163.62863633505074</v>
      </c>
      <c r="H83" s="9">
        <f t="shared" ref="H83" si="140">SUM(H74:H82)</f>
        <v>213.83254084790215</v>
      </c>
      <c r="I83" s="9">
        <f t="shared" ref="I83" si="141">SUM(I74:I82)</f>
        <v>216.99801980068654</v>
      </c>
      <c r="J83" s="9">
        <f t="shared" ref="J83" si="142">SUM(J74:J82)</f>
        <v>263.88852578352061</v>
      </c>
      <c r="K83" s="18">
        <f t="shared" si="115"/>
        <v>2414.0461736550542</v>
      </c>
    </row>
    <row r="84" spans="1:12" x14ac:dyDescent="0.25">
      <c r="A84" s="10" t="s">
        <v>17</v>
      </c>
      <c r="B84" s="10" t="s">
        <v>1</v>
      </c>
      <c r="C84" s="2">
        <v>10.979999999999997</v>
      </c>
      <c r="D84" s="1">
        <f t="shared" ref="D84" si="143">C84/C93</f>
        <v>1.4896821197443932E-2</v>
      </c>
      <c r="E84" s="8">
        <f t="shared" ref="E84:E92" si="144">SUMIFS(P:P,$M:$M,$A84)*$D84</f>
        <v>1.5739172741950069</v>
      </c>
      <c r="F84" s="8">
        <f t="shared" ref="F84:F92" si="145">SUMIFS(Q:Q,$M:$M,$A84)*$D84</f>
        <v>1.4083955892146744</v>
      </c>
      <c r="G84" s="8">
        <f t="shared" ref="G84:G92" si="146">SUMIFS(R:R,$M:$M,$A84)*$D84</f>
        <v>1.469503113364717</v>
      </c>
      <c r="H84" s="8">
        <f t="shared" ref="H84:H92" si="147">SUMIFS(S:S,$M:$M,$A84)*$D84</f>
        <v>1.920370367636987</v>
      </c>
      <c r="I84" s="8">
        <f t="shared" ref="I84:I92" si="148">SUMIFS(T:T,$M:$M,$A84)*$D84</f>
        <v>1.9487986506111372</v>
      </c>
      <c r="J84" s="8">
        <f t="shared" ref="J84:J92" si="149">SUMIFS(U:U,$M:$M,$A84)*$D84</f>
        <v>2.3699091974712125</v>
      </c>
      <c r="K84" s="15">
        <f t="shared" si="115"/>
        <v>21.685791013691176</v>
      </c>
    </row>
    <row r="85" spans="1:12" x14ac:dyDescent="0.25">
      <c r="A85" s="11" t="s">
        <v>17</v>
      </c>
      <c r="B85" s="11" t="s">
        <v>2</v>
      </c>
      <c r="C85" s="2">
        <v>11.515999999999977</v>
      </c>
      <c r="D85" s="1">
        <f t="shared" ref="D85" si="150">C85/C93</f>
        <v>1.5624024855169767E-2</v>
      </c>
      <c r="E85" s="8">
        <f t="shared" si="144"/>
        <v>1.6507496657221921</v>
      </c>
      <c r="F85" s="8">
        <f t="shared" si="145"/>
        <v>1.4771478693439131</v>
      </c>
      <c r="G85" s="8">
        <f t="shared" si="146"/>
        <v>1.5412384201737754</v>
      </c>
      <c r="H85" s="8">
        <f t="shared" si="147"/>
        <v>2.014115223470629</v>
      </c>
      <c r="I85" s="8">
        <f t="shared" si="148"/>
        <v>2.0439312623349561</v>
      </c>
      <c r="J85" s="8">
        <f t="shared" si="149"/>
        <v>2.4855987539233548</v>
      </c>
      <c r="K85" s="16">
        <f t="shared" si="115"/>
        <v>22.744405219823967</v>
      </c>
    </row>
    <row r="86" spans="1:12" x14ac:dyDescent="0.25">
      <c r="A86" s="11" t="s">
        <v>17</v>
      </c>
      <c r="B86" s="11" t="s">
        <v>3</v>
      </c>
      <c r="C86" s="2">
        <v>4.4000000000000004E-2</v>
      </c>
      <c r="D86" s="1">
        <f t="shared" ref="D86" si="151">C86/C93</f>
        <v>5.969582264913782E-5</v>
      </c>
      <c r="E86" s="8">
        <f t="shared" si="144"/>
        <v>6.307136617903491E-3</v>
      </c>
      <c r="F86" s="8">
        <f t="shared" si="145"/>
        <v>5.6438438912063483E-3</v>
      </c>
      <c r="G86" s="8">
        <f t="shared" si="146"/>
        <v>5.8887192156691784E-3</v>
      </c>
      <c r="H86" s="8">
        <f t="shared" si="147"/>
        <v>7.6954732400753602E-3</v>
      </c>
      <c r="I86" s="8">
        <f t="shared" si="148"/>
        <v>7.809393499716764E-3</v>
      </c>
      <c r="J86" s="8">
        <f t="shared" si="149"/>
        <v>9.496903887862786E-3</v>
      </c>
      <c r="K86" s="16">
        <f t="shared" si="115"/>
        <v>8.6901166175083061E-2</v>
      </c>
    </row>
    <row r="87" spans="1:12" x14ac:dyDescent="0.25">
      <c r="A87" s="11" t="s">
        <v>17</v>
      </c>
      <c r="B87" s="11" t="s">
        <v>4</v>
      </c>
      <c r="C87" s="2">
        <v>0</v>
      </c>
      <c r="D87" s="1">
        <f t="shared" ref="D87" si="152">C87/C93</f>
        <v>0</v>
      </c>
      <c r="E87" s="8">
        <f t="shared" si="144"/>
        <v>0</v>
      </c>
      <c r="F87" s="8">
        <f t="shared" si="145"/>
        <v>0</v>
      </c>
      <c r="G87" s="8">
        <f t="shared" si="146"/>
        <v>0</v>
      </c>
      <c r="H87" s="8">
        <f t="shared" si="147"/>
        <v>0</v>
      </c>
      <c r="I87" s="8">
        <f t="shared" si="148"/>
        <v>0</v>
      </c>
      <c r="J87" s="8">
        <f t="shared" si="149"/>
        <v>0</v>
      </c>
      <c r="K87" s="16">
        <f t="shared" si="115"/>
        <v>0</v>
      </c>
    </row>
    <row r="88" spans="1:12" x14ac:dyDescent="0.25">
      <c r="A88" s="11" t="s">
        <v>17</v>
      </c>
      <c r="B88" s="11" t="s">
        <v>5</v>
      </c>
      <c r="C88" s="2">
        <v>0.2</v>
      </c>
      <c r="D88" s="1">
        <f t="shared" ref="D88" si="153">C88/C93</f>
        <v>2.7134464840517192E-4</v>
      </c>
      <c r="E88" s="8">
        <f t="shared" si="144"/>
        <v>2.8668802808652232E-2</v>
      </c>
      <c r="F88" s="8">
        <f t="shared" si="145"/>
        <v>2.5653835869119766E-2</v>
      </c>
      <c r="G88" s="8">
        <f t="shared" si="146"/>
        <v>2.6766905525768991E-2</v>
      </c>
      <c r="H88" s="8">
        <f t="shared" si="147"/>
        <v>3.4979423818524369E-2</v>
      </c>
      <c r="I88" s="8">
        <f t="shared" si="148"/>
        <v>3.5497243180530748E-2</v>
      </c>
      <c r="J88" s="8">
        <f t="shared" si="149"/>
        <v>4.3167744944830846E-2</v>
      </c>
      <c r="K88" s="16">
        <f t="shared" si="115"/>
        <v>0.39500530079583213</v>
      </c>
    </row>
    <row r="89" spans="1:12" x14ac:dyDescent="0.25">
      <c r="A89" s="11" t="s">
        <v>17</v>
      </c>
      <c r="B89" s="11" t="s">
        <v>6</v>
      </c>
      <c r="C89" s="2">
        <v>277.15499999999992</v>
      </c>
      <c r="D89" s="1">
        <v>0.37602263014367698</v>
      </c>
      <c r="E89" s="8">
        <f t="shared" si="144"/>
        <v>39.728510212160032</v>
      </c>
      <c r="F89" s="8">
        <f t="shared" si="145"/>
        <v>35.550444401529433</v>
      </c>
      <c r="G89" s="8">
        <f t="shared" si="146"/>
        <v>37.092908504972513</v>
      </c>
      <c r="H89" s="8">
        <f t="shared" si="147"/>
        <v>48.473611042115586</v>
      </c>
      <c r="I89" s="8">
        <f t="shared" si="148"/>
        <v>49.191192168499974</v>
      </c>
      <c r="J89" s="8">
        <f t="shared" si="149"/>
        <v>59.82078175092294</v>
      </c>
      <c r="K89" s="16">
        <f t="shared" si="115"/>
        <v>547.388470710344</v>
      </c>
      <c r="L89" s="19"/>
    </row>
    <row r="90" spans="1:12" x14ac:dyDescent="0.25">
      <c r="A90" s="11" t="s">
        <v>17</v>
      </c>
      <c r="B90" s="11" t="s">
        <v>7</v>
      </c>
      <c r="C90" s="2">
        <v>437.05499999999995</v>
      </c>
      <c r="D90" s="1">
        <f t="shared" ref="D90" si="154">C90/C93</f>
        <v>0.5929626765436119</v>
      </c>
      <c r="E90" s="8">
        <f t="shared" si="144"/>
        <v>62.649218057677487</v>
      </c>
      <c r="F90" s="8">
        <f t="shared" si="145"/>
        <v>56.060686178890684</v>
      </c>
      <c r="G90" s="8">
        <f t="shared" si="146"/>
        <v>58.493049472824815</v>
      </c>
      <c r="H90" s="8">
        <f t="shared" si="147"/>
        <v>76.439660385025817</v>
      </c>
      <c r="I90" s="8">
        <f t="shared" si="148"/>
        <v>77.571238091334308</v>
      </c>
      <c r="J90" s="8">
        <f t="shared" si="149"/>
        <v>94.333393834315203</v>
      </c>
      <c r="K90" s="16">
        <f t="shared" si="115"/>
        <v>863.19520869661187</v>
      </c>
    </row>
    <row r="91" spans="1:12" x14ac:dyDescent="0.25">
      <c r="A91" s="11" t="s">
        <v>17</v>
      </c>
      <c r="B91" s="11" t="s">
        <v>8</v>
      </c>
      <c r="C91" s="2">
        <v>0</v>
      </c>
      <c r="D91" s="1">
        <f t="shared" ref="D91" si="155">C91/C93</f>
        <v>0</v>
      </c>
      <c r="E91" s="8">
        <f t="shared" si="144"/>
        <v>0</v>
      </c>
      <c r="F91" s="8">
        <f t="shared" si="145"/>
        <v>0</v>
      </c>
      <c r="G91" s="8">
        <f t="shared" si="146"/>
        <v>0</v>
      </c>
      <c r="H91" s="8">
        <f t="shared" si="147"/>
        <v>0</v>
      </c>
      <c r="I91" s="8">
        <f t="shared" si="148"/>
        <v>0</v>
      </c>
      <c r="J91" s="8">
        <f t="shared" si="149"/>
        <v>0</v>
      </c>
      <c r="K91" s="16">
        <f t="shared" si="115"/>
        <v>0</v>
      </c>
    </row>
    <row r="92" spans="1:12" x14ac:dyDescent="0.25">
      <c r="A92" s="12" t="s">
        <v>17</v>
      </c>
      <c r="B92" s="12" t="s">
        <v>9</v>
      </c>
      <c r="C92" s="2">
        <v>0.12</v>
      </c>
      <c r="D92" s="1">
        <f t="shared" ref="D92" si="156">C92/C93</f>
        <v>1.6280678904310314E-4</v>
      </c>
      <c r="E92" s="8">
        <f t="shared" si="144"/>
        <v>1.7201281685191337E-2</v>
      </c>
      <c r="F92" s="8">
        <f t="shared" si="145"/>
        <v>1.5392301521471858E-2</v>
      </c>
      <c r="G92" s="8">
        <f t="shared" si="146"/>
        <v>1.6060143315461396E-2</v>
      </c>
      <c r="H92" s="8">
        <f t="shared" si="147"/>
        <v>2.098765429111462E-2</v>
      </c>
      <c r="I92" s="8">
        <f t="shared" si="148"/>
        <v>2.1298345908318445E-2</v>
      </c>
      <c r="J92" s="8">
        <f t="shared" si="149"/>
        <v>2.5900646966898505E-2</v>
      </c>
      <c r="K92" s="17">
        <f t="shared" si="115"/>
        <v>0.23700318047749927</v>
      </c>
    </row>
    <row r="93" spans="1:12" x14ac:dyDescent="0.25">
      <c r="B93" s="19">
        <f>1-D93</f>
        <v>0</v>
      </c>
      <c r="C93" s="3">
        <v>737.06999999999982</v>
      </c>
      <c r="D93" s="5">
        <f t="shared" ref="D93:E93" si="157">SUM(D84:D92)</f>
        <v>1</v>
      </c>
      <c r="E93" s="9">
        <f t="shared" si="157"/>
        <v>105.65457243086647</v>
      </c>
      <c r="F93" s="9">
        <f t="shared" ref="F93" si="158">SUM(F84:F92)</f>
        <v>94.543364020260498</v>
      </c>
      <c r="G93" s="9">
        <f t="shared" ref="G93" si="159">SUM(G84:G92)</f>
        <v>98.645415279392722</v>
      </c>
      <c r="H93" s="9">
        <f t="shared" ref="H93" si="160">SUM(H84:H92)</f>
        <v>128.91141956959871</v>
      </c>
      <c r="I93" s="9">
        <f t="shared" ref="I93" si="161">SUM(I84:I92)</f>
        <v>130.81976515536894</v>
      </c>
      <c r="J93" s="9">
        <f t="shared" ref="J93" si="162">SUM(J84:J92)</f>
        <v>159.0882488324323</v>
      </c>
      <c r="K93" s="18">
        <f t="shared" si="115"/>
        <v>1455.7327852879196</v>
      </c>
    </row>
    <row r="94" spans="1:12" x14ac:dyDescent="0.25">
      <c r="A94" s="10" t="s">
        <v>18</v>
      </c>
      <c r="B94" s="10" t="s">
        <v>1</v>
      </c>
      <c r="C94" s="2">
        <v>13.49499999999999</v>
      </c>
      <c r="D94" s="1">
        <f t="shared" ref="D94" si="163">C94/C103</f>
        <v>1.2020247815735253E-2</v>
      </c>
      <c r="E94" s="8">
        <f t="shared" ref="E94:E102" si="164">SUMIFS(P:P,$M:$M,$A94)*$D94</f>
        <v>1.9344274695138082</v>
      </c>
      <c r="F94" s="8">
        <f t="shared" ref="F94:F102" si="165">SUMIFS(Q:Q,$M:$M,$A94)*$D94</f>
        <v>1.7309925752688549</v>
      </c>
      <c r="G94" s="8">
        <f t="shared" ref="G94:G102" si="166">SUMIFS(R:R,$M:$M,$A94)*$D94</f>
        <v>1.8060969503512614</v>
      </c>
      <c r="H94" s="8">
        <f t="shared" ref="H94:H102" si="167">SUMIFS(S:S,$M:$M,$A94)*$D94</f>
        <v>2.3602366221549298</v>
      </c>
      <c r="I94" s="8">
        <f t="shared" ref="I94:I102" si="168">SUMIFS(T:T,$M:$M,$A94)*$D94</f>
        <v>2.3951764836063103</v>
      </c>
      <c r="J94" s="8">
        <f t="shared" ref="J94:J102" si="169">SUMIFS(U:U,$M:$M,$A94)*$D94</f>
        <v>2.9127435901524592</v>
      </c>
      <c r="K94" s="15">
        <f t="shared" si="115"/>
        <v>26.646693938863347</v>
      </c>
    </row>
    <row r="95" spans="1:12" x14ac:dyDescent="0.25">
      <c r="A95" s="11" t="s">
        <v>18</v>
      </c>
      <c r="B95" s="11" t="s">
        <v>2</v>
      </c>
      <c r="C95" s="2">
        <v>21.629999999999956</v>
      </c>
      <c r="D95" s="1">
        <f t="shared" ref="D95" si="170">C95/C103</f>
        <v>1.9266243812845734E-2</v>
      </c>
      <c r="E95" s="8">
        <f t="shared" si="164"/>
        <v>3.1005310237557326</v>
      </c>
      <c r="F95" s="8">
        <f t="shared" si="165"/>
        <v>2.7744623492452969</v>
      </c>
      <c r="G95" s="8">
        <f t="shared" si="166"/>
        <v>2.8948408326119108</v>
      </c>
      <c r="H95" s="8">
        <f t="shared" si="167"/>
        <v>3.7830246859734027</v>
      </c>
      <c r="I95" s="8">
        <f t="shared" si="168"/>
        <v>3.8390268499743918</v>
      </c>
      <c r="J95" s="8">
        <f t="shared" si="169"/>
        <v>4.6685916157834466</v>
      </c>
      <c r="K95" s="16">
        <f t="shared" si="115"/>
        <v>42.709743601156994</v>
      </c>
    </row>
    <row r="96" spans="1:12" x14ac:dyDescent="0.25">
      <c r="A96" s="11" t="s">
        <v>18</v>
      </c>
      <c r="B96" s="11" t="s">
        <v>3</v>
      </c>
      <c r="C96" s="2">
        <v>7.400000000000001E-2</v>
      </c>
      <c r="D96" s="1">
        <f t="shared" ref="D96" si="171">C96/C103</f>
        <v>6.5913178092953651E-5</v>
      </c>
      <c r="E96" s="8">
        <f t="shared" si="164"/>
        <v>1.0607457039201329E-2</v>
      </c>
      <c r="F96" s="8">
        <f t="shared" si="165"/>
        <v>9.4919192715743148E-3</v>
      </c>
      <c r="G96" s="8">
        <f t="shared" si="166"/>
        <v>9.903755044534529E-3</v>
      </c>
      <c r="H96" s="8">
        <f t="shared" si="167"/>
        <v>1.2942386812854019E-2</v>
      </c>
      <c r="I96" s="8">
        <f t="shared" si="168"/>
        <v>1.3133979976796377E-2</v>
      </c>
      <c r="J96" s="8">
        <f t="shared" si="169"/>
        <v>1.5972065629587414E-2</v>
      </c>
      <c r="K96" s="16">
        <f t="shared" si="115"/>
        <v>0.14611747695264096</v>
      </c>
    </row>
    <row r="97" spans="1:12" x14ac:dyDescent="0.25">
      <c r="A97" s="11" t="s">
        <v>18</v>
      </c>
      <c r="B97" s="11" t="s">
        <v>4</v>
      </c>
      <c r="C97" s="2">
        <v>0</v>
      </c>
      <c r="D97" s="1">
        <f t="shared" ref="D97" si="172">C97/C103</f>
        <v>0</v>
      </c>
      <c r="E97" s="8">
        <f t="shared" si="164"/>
        <v>0</v>
      </c>
      <c r="F97" s="8">
        <f t="shared" si="165"/>
        <v>0</v>
      </c>
      <c r="G97" s="8">
        <f t="shared" si="166"/>
        <v>0</v>
      </c>
      <c r="H97" s="8">
        <f t="shared" si="167"/>
        <v>0</v>
      </c>
      <c r="I97" s="8">
        <f t="shared" si="168"/>
        <v>0</v>
      </c>
      <c r="J97" s="8">
        <f t="shared" si="169"/>
        <v>0</v>
      </c>
      <c r="K97" s="16">
        <f t="shared" si="115"/>
        <v>0</v>
      </c>
    </row>
    <row r="98" spans="1:12" x14ac:dyDescent="0.25">
      <c r="A98" s="11" t="s">
        <v>18</v>
      </c>
      <c r="B98" s="11" t="s">
        <v>5</v>
      </c>
      <c r="C98" s="2">
        <v>1.3750000000000002</v>
      </c>
      <c r="D98" s="1">
        <f t="shared" ref="D98" si="173">C98/C103</f>
        <v>1.224738106456909E-3</v>
      </c>
      <c r="E98" s="8">
        <f t="shared" si="164"/>
        <v>0.19709801930948415</v>
      </c>
      <c r="F98" s="8">
        <f t="shared" si="165"/>
        <v>0.17637012160019841</v>
      </c>
      <c r="G98" s="8">
        <f t="shared" si="166"/>
        <v>0.18402247548966186</v>
      </c>
      <c r="H98" s="8">
        <f t="shared" si="167"/>
        <v>0.24048353875235506</v>
      </c>
      <c r="I98" s="8">
        <f t="shared" si="168"/>
        <v>0.24404354686614887</v>
      </c>
      <c r="J98" s="8">
        <f t="shared" si="169"/>
        <v>0.29677824649571211</v>
      </c>
      <c r="K98" s="16">
        <f t="shared" si="115"/>
        <v>2.7150206866200177</v>
      </c>
    </row>
    <row r="99" spans="1:12" x14ac:dyDescent="0.25">
      <c r="A99" s="11" t="s">
        <v>18</v>
      </c>
      <c r="B99" s="11" t="s">
        <v>6</v>
      </c>
      <c r="C99" s="2">
        <v>308.48999999999984</v>
      </c>
      <c r="D99" s="1">
        <v>0.31887662573285219</v>
      </c>
      <c r="E99" s="8">
        <f t="shared" si="164"/>
        <v>51.317053829457336</v>
      </c>
      <c r="F99" s="8">
        <f t="shared" si="165"/>
        <v>45.920273860559305</v>
      </c>
      <c r="G99" s="8">
        <f t="shared" si="166"/>
        <v>47.912664539285707</v>
      </c>
      <c r="H99" s="8">
        <f t="shared" si="167"/>
        <v>62.613042721019177</v>
      </c>
      <c r="I99" s="8">
        <f t="shared" si="168"/>
        <v>63.539937515035369</v>
      </c>
      <c r="J99" s="8">
        <f t="shared" si="169"/>
        <v>77.270108061910776</v>
      </c>
      <c r="K99" s="16">
        <f t="shared" si="115"/>
        <v>657.38195715300026</v>
      </c>
      <c r="L99" s="19"/>
    </row>
    <row r="100" spans="1:12" x14ac:dyDescent="0.25">
      <c r="A100" s="11" t="s">
        <v>18</v>
      </c>
      <c r="B100" s="11" t="s">
        <v>7</v>
      </c>
      <c r="C100" s="2">
        <v>776.15999999999985</v>
      </c>
      <c r="D100" s="1">
        <v>0.64724132857150107</v>
      </c>
      <c r="E100" s="8">
        <f t="shared" si="164"/>
        <v>104.16103100256585</v>
      </c>
      <c r="F100" s="8">
        <f t="shared" si="165"/>
        <v>93.206891516644419</v>
      </c>
      <c r="G100" s="8">
        <f t="shared" si="166"/>
        <v>97.25095585334094</v>
      </c>
      <c r="H100" s="8">
        <f t="shared" si="167"/>
        <v>127.08911750279303</v>
      </c>
      <c r="I100" s="8">
        <f t="shared" si="168"/>
        <v>128.97048656377791</v>
      </c>
      <c r="J100" s="8">
        <f t="shared" si="169"/>
        <v>156.83936471014303</v>
      </c>
      <c r="K100" s="16">
        <f t="shared" si="115"/>
        <v>1484.3250884778365</v>
      </c>
    </row>
    <row r="101" spans="1:12" x14ac:dyDescent="0.25">
      <c r="A101" s="11" t="s">
        <v>18</v>
      </c>
      <c r="B101" s="11" t="s">
        <v>8</v>
      </c>
      <c r="C101" s="2">
        <v>0</v>
      </c>
      <c r="D101" s="1">
        <f t="shared" ref="D101" si="174">C101/C103</f>
        <v>0</v>
      </c>
      <c r="E101" s="8">
        <f t="shared" si="164"/>
        <v>0</v>
      </c>
      <c r="F101" s="8">
        <f t="shared" si="165"/>
        <v>0</v>
      </c>
      <c r="G101" s="8">
        <f t="shared" si="166"/>
        <v>0</v>
      </c>
      <c r="H101" s="8">
        <f t="shared" si="167"/>
        <v>0</v>
      </c>
      <c r="I101" s="8">
        <f t="shared" si="168"/>
        <v>0</v>
      </c>
      <c r="J101" s="8">
        <f t="shared" si="169"/>
        <v>0</v>
      </c>
      <c r="K101" s="16">
        <f t="shared" si="115"/>
        <v>0</v>
      </c>
    </row>
    <row r="102" spans="1:12" x14ac:dyDescent="0.25">
      <c r="A102" s="12" t="s">
        <v>18</v>
      </c>
      <c r="B102" s="12" t="s">
        <v>9</v>
      </c>
      <c r="C102" s="2">
        <v>1.4650000000000001</v>
      </c>
      <c r="D102" s="1">
        <f t="shared" ref="D102" si="175">C102/C103</f>
        <v>1.3049027825159066E-3</v>
      </c>
      <c r="E102" s="8">
        <f t="shared" si="164"/>
        <v>0.20999898057337762</v>
      </c>
      <c r="F102" s="8">
        <f t="shared" si="165"/>
        <v>0.18791434774130231</v>
      </c>
      <c r="G102" s="8">
        <f t="shared" si="166"/>
        <v>0.19606758297625787</v>
      </c>
      <c r="H102" s="8">
        <f t="shared" si="167"/>
        <v>0.25622427947069099</v>
      </c>
      <c r="I102" s="8">
        <f t="shared" si="168"/>
        <v>0.26001730629738773</v>
      </c>
      <c r="J102" s="8">
        <f t="shared" si="169"/>
        <v>0.31620373172088595</v>
      </c>
      <c r="K102" s="17">
        <f t="shared" si="115"/>
        <v>2.8927311315624187</v>
      </c>
    </row>
    <row r="103" spans="1:12" x14ac:dyDescent="0.25">
      <c r="B103" s="19">
        <f>1-D103</f>
        <v>0</v>
      </c>
      <c r="C103" s="3">
        <v>1122.6889999999996</v>
      </c>
      <c r="D103" s="5">
        <f t="shared" ref="D103:E103" si="176">SUM(D94:D102)</f>
        <v>1</v>
      </c>
      <c r="E103" s="9">
        <f t="shared" si="176"/>
        <v>160.93074778221478</v>
      </c>
      <c r="F103" s="9">
        <f t="shared" ref="F103" si="177">SUM(F94:F102)</f>
        <v>144.00639669033094</v>
      </c>
      <c r="G103" s="9">
        <f t="shared" ref="G103" si="178">SUM(G94:G102)</f>
        <v>150.25455198910029</v>
      </c>
      <c r="H103" s="9">
        <f t="shared" ref="H103" si="179">SUM(H94:H102)</f>
        <v>196.35507173697647</v>
      </c>
      <c r="I103" s="9">
        <f t="shared" ref="I103" si="180">SUM(I94:I102)</f>
        <v>199.26182224553432</v>
      </c>
      <c r="J103" s="9">
        <f t="shared" ref="J103" si="181">SUM(J94:J102)</f>
        <v>242.31976202183588</v>
      </c>
      <c r="K103" s="18">
        <f t="shared" si="115"/>
        <v>2216.8173524659924</v>
      </c>
    </row>
    <row r="104" spans="1:12" x14ac:dyDescent="0.25">
      <c r="A104" s="10" t="s">
        <v>19</v>
      </c>
      <c r="B104" s="10" t="s">
        <v>1</v>
      </c>
      <c r="C104" s="2">
        <v>25.739999999999988</v>
      </c>
      <c r="D104" s="1">
        <f t="shared" ref="D104" si="182">C104/C113</f>
        <v>1.5234618450934061E-2</v>
      </c>
      <c r="E104" s="8">
        <f t="shared" ref="E104:E112" si="183">SUMIFS(P:P,$M:$M,$A104)*$D104</f>
        <v>3.6896749214735407</v>
      </c>
      <c r="F104" s="8">
        <f t="shared" ref="F104:F112" si="184">SUMIFS(Q:Q,$M:$M,$A104)*$D104</f>
        <v>3.301648676355712</v>
      </c>
      <c r="G104" s="8">
        <f t="shared" ref="G104:G112" si="185">SUMIFS(R:R,$M:$M,$A104)*$D104</f>
        <v>3.4449007411664674</v>
      </c>
      <c r="H104" s="8">
        <f t="shared" ref="H104:H112" si="186">SUMIFS(S:S,$M:$M,$A104)*$D104</f>
        <v>4.5018518454440839</v>
      </c>
      <c r="I104" s="8">
        <f t="shared" ref="I104:I112" si="187">SUMIFS(T:T,$M:$M,$A104)*$D104</f>
        <v>4.568495197334304</v>
      </c>
      <c r="J104" s="8">
        <f t="shared" ref="J104:J112" si="188">SUMIFS(U:U,$M:$M,$A104)*$D104</f>
        <v>5.5556887743997274</v>
      </c>
      <c r="K104" s="15">
        <f t="shared" si="115"/>
        <v>50.817494774624762</v>
      </c>
    </row>
    <row r="105" spans="1:12" x14ac:dyDescent="0.25">
      <c r="A105" s="11" t="s">
        <v>19</v>
      </c>
      <c r="B105" s="11" t="s">
        <v>2</v>
      </c>
      <c r="C105" s="2">
        <v>25.661999999999928</v>
      </c>
      <c r="D105" s="1">
        <f t="shared" ref="D105" si="189">C105/C113</f>
        <v>1.518845294047665E-2</v>
      </c>
      <c r="E105" s="8">
        <f t="shared" si="183"/>
        <v>3.6784940883781578</v>
      </c>
      <c r="F105" s="8">
        <f t="shared" si="184"/>
        <v>3.2916436803667475</v>
      </c>
      <c r="G105" s="8">
        <f t="shared" si="185"/>
        <v>3.4344616480114096</v>
      </c>
      <c r="H105" s="8">
        <f t="shared" si="186"/>
        <v>4.488209870154849</v>
      </c>
      <c r="I105" s="8">
        <f t="shared" si="187"/>
        <v>4.5546512724938868</v>
      </c>
      <c r="J105" s="8">
        <f t="shared" si="188"/>
        <v>5.5388533538712306</v>
      </c>
      <c r="K105" s="16">
        <f t="shared" si="115"/>
        <v>50.663502366216683</v>
      </c>
    </row>
    <row r="106" spans="1:12" x14ac:dyDescent="0.25">
      <c r="A106" s="11" t="s">
        <v>19</v>
      </c>
      <c r="B106" s="11" t="s">
        <v>3</v>
      </c>
      <c r="C106" s="2">
        <v>0.11600000000000003</v>
      </c>
      <c r="D106" s="1">
        <f t="shared" ref="D106" si="190">C106/C113</f>
        <v>6.8656400167379662E-5</v>
      </c>
      <c r="E106" s="8">
        <f t="shared" si="183"/>
        <v>1.6627905629018301E-2</v>
      </c>
      <c r="F106" s="8">
        <f t="shared" si="184"/>
        <v>1.4879224804089469E-2</v>
      </c>
      <c r="G106" s="8">
        <f t="shared" si="185"/>
        <v>1.5524805204946019E-2</v>
      </c>
      <c r="H106" s="8">
        <f t="shared" si="186"/>
        <v>2.0288065814744138E-2</v>
      </c>
      <c r="I106" s="8">
        <f t="shared" si="187"/>
        <v>2.0588401044707837E-2</v>
      </c>
      <c r="J106" s="8">
        <f t="shared" si="188"/>
        <v>2.5037292068001898E-2</v>
      </c>
      <c r="K106" s="16">
        <f t="shared" si="115"/>
        <v>0.22901435096567505</v>
      </c>
    </row>
    <row r="107" spans="1:12" x14ac:dyDescent="0.25">
      <c r="A107" s="11" t="s">
        <v>19</v>
      </c>
      <c r="B107" s="11" t="s">
        <v>4</v>
      </c>
      <c r="C107" s="2">
        <v>0</v>
      </c>
      <c r="D107" s="1">
        <f t="shared" ref="D107" si="191">C107/C113</f>
        <v>0</v>
      </c>
      <c r="E107" s="8">
        <f t="shared" si="183"/>
        <v>0</v>
      </c>
      <c r="F107" s="8">
        <f t="shared" si="184"/>
        <v>0</v>
      </c>
      <c r="G107" s="8">
        <f t="shared" si="185"/>
        <v>0</v>
      </c>
      <c r="H107" s="8">
        <f t="shared" si="186"/>
        <v>0</v>
      </c>
      <c r="I107" s="8">
        <f t="shared" si="187"/>
        <v>0</v>
      </c>
      <c r="J107" s="8">
        <f t="shared" si="188"/>
        <v>0</v>
      </c>
      <c r="K107" s="16">
        <f t="shared" si="115"/>
        <v>0</v>
      </c>
    </row>
    <row r="108" spans="1:12" x14ac:dyDescent="0.25">
      <c r="A108" s="11" t="s">
        <v>19</v>
      </c>
      <c r="B108" s="11" t="s">
        <v>5</v>
      </c>
      <c r="C108" s="2">
        <v>3.3250000000000006</v>
      </c>
      <c r="D108" s="1">
        <f t="shared" ref="D108" si="192">C108/C113</f>
        <v>1.9679528496253217E-3</v>
      </c>
      <c r="E108" s="8">
        <f t="shared" si="183"/>
        <v>0.47661884669384341</v>
      </c>
      <c r="F108" s="8">
        <f t="shared" si="184"/>
        <v>0.4264950213241161</v>
      </c>
      <c r="G108" s="8">
        <f t="shared" si="185"/>
        <v>0.44499980436590952</v>
      </c>
      <c r="H108" s="8">
        <f t="shared" si="186"/>
        <v>0.5815329209829676</v>
      </c>
      <c r="I108" s="8">
        <f t="shared" si="187"/>
        <v>0.59014166787632361</v>
      </c>
      <c r="J108" s="8">
        <f t="shared" si="188"/>
        <v>0.71766375970781293</v>
      </c>
      <c r="K108" s="16">
        <f t="shared" si="115"/>
        <v>6.5644199738005984</v>
      </c>
    </row>
    <row r="109" spans="1:12" x14ac:dyDescent="0.25">
      <c r="A109" s="11" t="s">
        <v>19</v>
      </c>
      <c r="B109" s="11" t="s">
        <v>6</v>
      </c>
      <c r="C109" s="2">
        <v>574.03999999999826</v>
      </c>
      <c r="D109" s="1">
        <v>0.33370187775237187</v>
      </c>
      <c r="E109" s="8">
        <f t="shared" si="183"/>
        <v>80.819316450689684</v>
      </c>
      <c r="F109" s="8">
        <f t="shared" si="184"/>
        <v>72.31991838371134</v>
      </c>
      <c r="G109" s="8">
        <f t="shared" si="185"/>
        <v>75.457737894794846</v>
      </c>
      <c r="H109" s="8">
        <f t="shared" si="186"/>
        <v>98.609388809180459</v>
      </c>
      <c r="I109" s="8">
        <f t="shared" si="187"/>
        <v>100.0691570165106</v>
      </c>
      <c r="J109" s="8">
        <f t="shared" si="188"/>
        <v>121.69282625593384</v>
      </c>
      <c r="K109" s="16">
        <f t="shared" si="115"/>
        <v>1123.3420466885714</v>
      </c>
      <c r="L109" s="19"/>
    </row>
    <row r="110" spans="1:12" x14ac:dyDescent="0.25">
      <c r="A110" s="11" t="s">
        <v>19</v>
      </c>
      <c r="B110" s="11" t="s">
        <v>7</v>
      </c>
      <c r="C110" s="2">
        <v>1060.69</v>
      </c>
      <c r="D110" s="1">
        <v>0.63383844160642466</v>
      </c>
      <c r="E110" s="8">
        <f t="shared" si="183"/>
        <v>153.5094436262504</v>
      </c>
      <c r="F110" s="8">
        <f t="shared" si="184"/>
        <v>137.36555716791918</v>
      </c>
      <c r="G110" s="8">
        <f t="shared" si="185"/>
        <v>143.32557945590662</v>
      </c>
      <c r="H110" s="8">
        <f t="shared" si="186"/>
        <v>187.30017868510092</v>
      </c>
      <c r="I110" s="8">
        <f t="shared" si="187"/>
        <v>190.07288470603419</v>
      </c>
      <c r="J110" s="8">
        <f t="shared" si="188"/>
        <v>231.14521221238243</v>
      </c>
      <c r="K110" s="16">
        <f t="shared" si="115"/>
        <v>2104.0426942952004</v>
      </c>
    </row>
    <row r="111" spans="1:12" x14ac:dyDescent="0.25">
      <c r="A111" s="11" t="s">
        <v>19</v>
      </c>
      <c r="B111" s="11" t="s">
        <v>8</v>
      </c>
      <c r="C111" s="2">
        <v>0</v>
      </c>
      <c r="D111" s="1">
        <f t="shared" ref="D111" si="193">C111/C113</f>
        <v>0</v>
      </c>
      <c r="E111" s="8">
        <f t="shared" si="183"/>
        <v>0</v>
      </c>
      <c r="F111" s="8">
        <f t="shared" si="184"/>
        <v>0</v>
      </c>
      <c r="G111" s="8">
        <f t="shared" si="185"/>
        <v>0</v>
      </c>
      <c r="H111" s="8">
        <f t="shared" si="186"/>
        <v>0</v>
      </c>
      <c r="I111" s="8">
        <f t="shared" si="187"/>
        <v>0</v>
      </c>
      <c r="J111" s="8">
        <f t="shared" si="188"/>
        <v>0</v>
      </c>
      <c r="K111" s="16">
        <f t="shared" si="115"/>
        <v>0</v>
      </c>
    </row>
    <row r="112" spans="1:12" x14ac:dyDescent="0.25">
      <c r="A112" s="12" t="s">
        <v>19</v>
      </c>
      <c r="B112" s="12" t="s">
        <v>9</v>
      </c>
      <c r="C112" s="2">
        <v>0</v>
      </c>
      <c r="D112" s="1">
        <f t="shared" ref="D112" si="194">C112/C113</f>
        <v>0</v>
      </c>
      <c r="E112" s="8">
        <f t="shared" si="183"/>
        <v>0</v>
      </c>
      <c r="F112" s="8">
        <f t="shared" si="184"/>
        <v>0</v>
      </c>
      <c r="G112" s="8">
        <f t="shared" si="185"/>
        <v>0</v>
      </c>
      <c r="H112" s="8">
        <f t="shared" si="186"/>
        <v>0</v>
      </c>
      <c r="I112" s="8">
        <f t="shared" si="187"/>
        <v>0</v>
      </c>
      <c r="J112" s="8">
        <f t="shared" si="188"/>
        <v>0</v>
      </c>
      <c r="K112" s="17">
        <f t="shared" si="115"/>
        <v>0</v>
      </c>
    </row>
    <row r="113" spans="1:12" x14ac:dyDescent="0.25">
      <c r="B113" s="19">
        <f>1-D113</f>
        <v>0</v>
      </c>
      <c r="C113" s="3">
        <v>1689.5729999999983</v>
      </c>
      <c r="D113" s="5">
        <f t="shared" ref="D113:E113" si="195">SUM(D104:D112)</f>
        <v>1</v>
      </c>
      <c r="E113" s="9">
        <f t="shared" si="195"/>
        <v>242.19017583911466</v>
      </c>
      <c r="F113" s="9">
        <f t="shared" ref="F113" si="196">SUM(F104:F112)</f>
        <v>216.72014215448118</v>
      </c>
      <c r="G113" s="9">
        <f t="shared" ref="G113" si="197">SUM(G104:G112)</f>
        <v>226.12320434945019</v>
      </c>
      <c r="H113" s="9">
        <f t="shared" ref="H113" si="198">SUM(H104:H112)</f>
        <v>295.50145019667804</v>
      </c>
      <c r="I113" s="9">
        <f t="shared" ref="I113" si="199">SUM(I104:I112)</f>
        <v>299.87591826129403</v>
      </c>
      <c r="J113" s="9">
        <f t="shared" ref="J113" si="200">SUM(J104:J112)</f>
        <v>364.67528164836301</v>
      </c>
      <c r="K113" s="18">
        <f t="shared" si="115"/>
        <v>3335.6591724493792</v>
      </c>
    </row>
    <row r="114" spans="1:12" x14ac:dyDescent="0.25">
      <c r="A114" s="10" t="s">
        <v>20</v>
      </c>
      <c r="B114" s="10" t="s">
        <v>1</v>
      </c>
      <c r="C114" s="2">
        <v>23.924999999999997</v>
      </c>
      <c r="D114" s="1">
        <f t="shared" ref="D114" si="201">C114/C123</f>
        <v>1.0022890312504711E-2</v>
      </c>
      <c r="E114" s="8">
        <f t="shared" ref="E114:E122" si="202">SUMIFS(P:P,$M:$M,$A114)*$D114</f>
        <v>3.4295055359850224</v>
      </c>
      <c r="F114" s="8">
        <f t="shared" ref="F114:F122" si="203">SUMIFS(Q:Q,$M:$M,$A114)*$D114</f>
        <v>3.0688401158434515</v>
      </c>
      <c r="G114" s="8">
        <f t="shared" ref="G114:G122" si="204">SUMIFS(R:R,$M:$M,$A114)*$D114</f>
        <v>3.2019910735201145</v>
      </c>
      <c r="H114" s="8">
        <f t="shared" ref="H114:H122" si="205">SUMIFS(S:S,$M:$M,$A114)*$D114</f>
        <v>4.1844135742909767</v>
      </c>
      <c r="I114" s="8">
        <f t="shared" ref="I114:I122" si="206">SUMIFS(T:T,$M:$M,$A114)*$D114</f>
        <v>4.2463577154709897</v>
      </c>
      <c r="J114" s="8">
        <f t="shared" ref="J114:J122" si="207">SUMIFS(U:U,$M:$M,$A114)*$D114</f>
        <v>5.1639414890253894</v>
      </c>
      <c r="K114" s="15">
        <f t="shared" si="115"/>
        <v>47.230072394448449</v>
      </c>
    </row>
    <row r="115" spans="1:12" x14ac:dyDescent="0.25">
      <c r="A115" s="11" t="s">
        <v>20</v>
      </c>
      <c r="B115" s="11" t="s">
        <v>2</v>
      </c>
      <c r="C115" s="2">
        <v>30.445999999999998</v>
      </c>
      <c r="D115" s="1">
        <f t="shared" ref="D115" si="208">C115/C123</f>
        <v>1.2754730133940165E-2</v>
      </c>
      <c r="E115" s="8">
        <f t="shared" si="202"/>
        <v>4.3642518515611286</v>
      </c>
      <c r="F115" s="8">
        <f t="shared" si="203"/>
        <v>3.9052834343561016</v>
      </c>
      <c r="G115" s="8">
        <f t="shared" si="204"/>
        <v>4.0747260281878122</v>
      </c>
      <c r="H115" s="8">
        <f t="shared" si="205"/>
        <v>5.3249176878939632</v>
      </c>
      <c r="I115" s="8">
        <f t="shared" si="206"/>
        <v>5.4037453293721951</v>
      </c>
      <c r="J115" s="8">
        <f t="shared" si="207"/>
        <v>6.571425812951599</v>
      </c>
      <c r="K115" s="16">
        <f t="shared" si="115"/>
        <v>60.103104874456733</v>
      </c>
    </row>
    <row r="116" spans="1:12" x14ac:dyDescent="0.25">
      <c r="A116" s="11" t="s">
        <v>20</v>
      </c>
      <c r="B116" s="11" t="s">
        <v>3</v>
      </c>
      <c r="C116" s="2">
        <v>0.125</v>
      </c>
      <c r="D116" s="1">
        <f t="shared" ref="D116" si="209">C116/C123</f>
        <v>5.2366198079961924E-5</v>
      </c>
      <c r="E116" s="8">
        <f t="shared" si="202"/>
        <v>1.7918001755407642E-2</v>
      </c>
      <c r="F116" s="8">
        <f t="shared" si="203"/>
        <v>1.6033647418199851E-2</v>
      </c>
      <c r="G116" s="8">
        <f t="shared" si="204"/>
        <v>1.6729315953605616E-2</v>
      </c>
      <c r="H116" s="8">
        <f t="shared" si="205"/>
        <v>2.1862139886577727E-2</v>
      </c>
      <c r="I116" s="8">
        <f t="shared" si="206"/>
        <v>2.2185776987831713E-2</v>
      </c>
      <c r="J116" s="8">
        <f t="shared" si="207"/>
        <v>2.6979840590519277E-2</v>
      </c>
      <c r="K116" s="16">
        <f t="shared" si="115"/>
        <v>0.24676108879022179</v>
      </c>
    </row>
    <row r="117" spans="1:12" x14ac:dyDescent="0.25">
      <c r="A117" s="11" t="s">
        <v>20</v>
      </c>
      <c r="B117" s="11" t="s">
        <v>4</v>
      </c>
      <c r="C117" s="2">
        <v>0</v>
      </c>
      <c r="D117" s="1">
        <f t="shared" ref="D117" si="210">C117/C123</f>
        <v>0</v>
      </c>
      <c r="E117" s="8">
        <f t="shared" si="202"/>
        <v>0</v>
      </c>
      <c r="F117" s="8">
        <f t="shared" si="203"/>
        <v>0</v>
      </c>
      <c r="G117" s="8">
        <f t="shared" si="204"/>
        <v>0</v>
      </c>
      <c r="H117" s="8">
        <f t="shared" si="205"/>
        <v>0</v>
      </c>
      <c r="I117" s="8">
        <f t="shared" si="206"/>
        <v>0</v>
      </c>
      <c r="J117" s="8">
        <f t="shared" si="207"/>
        <v>0</v>
      </c>
      <c r="K117" s="16">
        <f t="shared" si="115"/>
        <v>0</v>
      </c>
    </row>
    <row r="118" spans="1:12" x14ac:dyDescent="0.25">
      <c r="A118" s="11" t="s">
        <v>20</v>
      </c>
      <c r="B118" s="11" t="s">
        <v>5</v>
      </c>
      <c r="C118" s="2">
        <v>0.57499999999999996</v>
      </c>
      <c r="D118" s="1">
        <f t="shared" ref="D118" si="211">C118/C123</f>
        <v>2.4088451116782483E-4</v>
      </c>
      <c r="E118" s="8">
        <f t="shared" si="202"/>
        <v>8.2422808074875148E-2</v>
      </c>
      <c r="F118" s="8">
        <f t="shared" si="203"/>
        <v>7.375477812371932E-2</v>
      </c>
      <c r="G118" s="8">
        <f t="shared" si="204"/>
        <v>7.6954853386585836E-2</v>
      </c>
      <c r="H118" s="8">
        <f t="shared" si="205"/>
        <v>0.10056584347825753</v>
      </c>
      <c r="I118" s="8">
        <f t="shared" si="206"/>
        <v>0.10205457414402588</v>
      </c>
      <c r="J118" s="8">
        <f t="shared" si="207"/>
        <v>0.12410726671638866</v>
      </c>
      <c r="K118" s="16">
        <f t="shared" si="115"/>
        <v>1.1351010084350202</v>
      </c>
    </row>
    <row r="119" spans="1:12" x14ac:dyDescent="0.25">
      <c r="A119" s="11" t="s">
        <v>20</v>
      </c>
      <c r="B119" s="11" t="s">
        <v>6</v>
      </c>
      <c r="C119" s="2">
        <v>619.32499999999993</v>
      </c>
      <c r="D119" s="1">
        <v>0.32184851227247274</v>
      </c>
      <c r="E119" s="8">
        <f t="shared" si="202"/>
        <v>110.12604350362832</v>
      </c>
      <c r="F119" s="8">
        <f t="shared" si="203"/>
        <v>98.544590920447973</v>
      </c>
      <c r="G119" s="8">
        <f t="shared" si="204"/>
        <v>102.82024757234441</v>
      </c>
      <c r="H119" s="8">
        <f t="shared" si="205"/>
        <v>134.36715773872817</v>
      </c>
      <c r="I119" s="8">
        <f t="shared" si="206"/>
        <v>136.35626757243651</v>
      </c>
      <c r="J119" s="8">
        <f t="shared" si="207"/>
        <v>165.821118847462</v>
      </c>
      <c r="K119" s="16">
        <f t="shared" si="115"/>
        <v>1367.6822746673199</v>
      </c>
      <c r="L119" s="19"/>
    </row>
    <row r="120" spans="1:12" x14ac:dyDescent="0.25">
      <c r="A120" s="11" t="s">
        <v>20</v>
      </c>
      <c r="B120" s="11" t="s">
        <v>7</v>
      </c>
      <c r="C120" s="2">
        <v>1712.6000000000001</v>
      </c>
      <c r="D120" s="1">
        <v>0.65506385938844902</v>
      </c>
      <c r="E120" s="8">
        <f t="shared" si="202"/>
        <v>224.14144644420344</v>
      </c>
      <c r="F120" s="8">
        <f t="shared" si="203"/>
        <v>200.56951512503758</v>
      </c>
      <c r="G120" s="8">
        <f t="shared" si="204"/>
        <v>209.27183326854984</v>
      </c>
      <c r="H120" s="8">
        <f t="shared" si="205"/>
        <v>273.47980670133398</v>
      </c>
      <c r="I120" s="8">
        <f t="shared" si="206"/>
        <v>277.52827644635931</v>
      </c>
      <c r="J120" s="8">
        <f t="shared" si="207"/>
        <v>337.49859930491141</v>
      </c>
      <c r="K120" s="16">
        <f t="shared" si="115"/>
        <v>3235.7445411497838</v>
      </c>
    </row>
    <row r="121" spans="1:12" x14ac:dyDescent="0.25">
      <c r="A121" s="11" t="s">
        <v>20</v>
      </c>
      <c r="B121" s="11" t="s">
        <v>8</v>
      </c>
      <c r="C121" s="2">
        <v>0</v>
      </c>
      <c r="D121" s="1">
        <f t="shared" ref="D121" si="212">C121/C123</f>
        <v>0</v>
      </c>
      <c r="E121" s="8">
        <f t="shared" si="202"/>
        <v>0</v>
      </c>
      <c r="F121" s="8">
        <f t="shared" si="203"/>
        <v>0</v>
      </c>
      <c r="G121" s="8">
        <f t="shared" si="204"/>
        <v>0</v>
      </c>
      <c r="H121" s="8">
        <f t="shared" si="205"/>
        <v>0</v>
      </c>
      <c r="I121" s="8">
        <f t="shared" si="206"/>
        <v>0</v>
      </c>
      <c r="J121" s="8">
        <f t="shared" si="207"/>
        <v>0</v>
      </c>
      <c r="K121" s="16">
        <f t="shared" si="115"/>
        <v>0</v>
      </c>
    </row>
    <row r="122" spans="1:12" x14ac:dyDescent="0.25">
      <c r="A122" s="12" t="s">
        <v>20</v>
      </c>
      <c r="B122" s="12" t="s">
        <v>9</v>
      </c>
      <c r="C122" s="2">
        <v>0.04</v>
      </c>
      <c r="D122" s="1">
        <f t="shared" ref="D122" si="213">C122/C123</f>
        <v>1.6757183385587818E-5</v>
      </c>
      <c r="E122" s="8">
        <f t="shared" si="202"/>
        <v>5.733760561730447E-3</v>
      </c>
      <c r="F122" s="8">
        <f t="shared" si="203"/>
        <v>5.130767173823954E-3</v>
      </c>
      <c r="G122" s="8">
        <f t="shared" si="204"/>
        <v>5.3533811051537979E-3</v>
      </c>
      <c r="H122" s="8">
        <f t="shared" si="205"/>
        <v>6.9958847637048736E-3</v>
      </c>
      <c r="I122" s="8">
        <f t="shared" si="206"/>
        <v>7.0994486361061499E-3</v>
      </c>
      <c r="J122" s="8">
        <f t="shared" si="207"/>
        <v>8.6335489889661707E-3</v>
      </c>
      <c r="K122" s="17">
        <f t="shared" si="115"/>
        <v>7.8963548412870982E-2</v>
      </c>
    </row>
    <row r="123" spans="1:12" x14ac:dyDescent="0.25">
      <c r="B123" s="19">
        <f>1-D123</f>
        <v>0</v>
      </c>
      <c r="C123" s="3">
        <v>2387.0360000000001</v>
      </c>
      <c r="D123" s="5">
        <f t="shared" ref="D123:E123" si="214">SUM(D114:D122)</f>
        <v>1</v>
      </c>
      <c r="E123" s="9">
        <f t="shared" si="214"/>
        <v>342.16732190576994</v>
      </c>
      <c r="F123" s="9">
        <f t="shared" ref="F123" si="215">SUM(F114:F122)</f>
        <v>306.18314878840084</v>
      </c>
      <c r="G123" s="9">
        <f t="shared" ref="G123" si="216">SUM(G114:G122)</f>
        <v>319.46783549304757</v>
      </c>
      <c r="H123" s="9">
        <f t="shared" ref="H123" si="217">SUM(H114:H122)</f>
        <v>417.48571957037564</v>
      </c>
      <c r="I123" s="9">
        <f t="shared" ref="I123" si="218">SUM(I114:I122)</f>
        <v>423.665986863407</v>
      </c>
      <c r="J123" s="9">
        <f t="shared" ref="J123" si="219">SUM(J114:J122)</f>
        <v>515.21480611064624</v>
      </c>
      <c r="K123" s="18">
        <f t="shared" si="115"/>
        <v>4712.2208187316473</v>
      </c>
    </row>
    <row r="124" spans="1:12" x14ac:dyDescent="0.25">
      <c r="A124" s="10" t="s">
        <v>21</v>
      </c>
      <c r="B124" s="10" t="s">
        <v>1</v>
      </c>
      <c r="C124" s="2">
        <v>42.870000000000005</v>
      </c>
      <c r="D124" s="1">
        <f t="shared" ref="D124" si="220">C124/C133</f>
        <v>3.9727837899300933E-3</v>
      </c>
      <c r="E124" s="8">
        <f t="shared" ref="E124:E132" si="221">SUMIFS(P:P,$M:$M,$A124)*$D124</f>
        <v>6.1451578820346056</v>
      </c>
      <c r="F124" s="8">
        <f t="shared" ref="F124:F132" si="222">SUMIFS(Q:Q,$M:$M,$A124)*$D124</f>
        <v>5.4988997185458226</v>
      </c>
      <c r="G124" s="8">
        <f t="shared" ref="G124:G132" si="223">SUMIFS(R:R,$M:$M,$A124)*$D124</f>
        <v>5.7374861994485835</v>
      </c>
      <c r="H124" s="8">
        <f t="shared" ref="H124:H132" si="224">SUMIFS(S:S,$M:$M,$A124)*$D124</f>
        <v>7.4978394955006982</v>
      </c>
      <c r="I124" s="8">
        <f t="shared" ref="I124:I132" si="225">SUMIFS(T:T,$M:$M,$A124)*$D124</f>
        <v>7.6088340757467652</v>
      </c>
      <c r="J124" s="8">
        <f t="shared" ref="J124:J132" si="226">SUMIFS(U:U,$M:$M,$A124)*$D124</f>
        <v>9.2530061289244916</v>
      </c>
      <c r="K124" s="15">
        <f t="shared" si="115"/>
        <v>84.615196283990912</v>
      </c>
    </row>
    <row r="125" spans="1:12" x14ac:dyDescent="0.25">
      <c r="A125" s="11" t="s">
        <v>21</v>
      </c>
      <c r="B125" s="11" t="s">
        <v>2</v>
      </c>
      <c r="C125" s="2">
        <v>86.950000000000173</v>
      </c>
      <c r="D125" s="1">
        <f t="shared" ref="D125" si="227">C125/C133</f>
        <v>8.0576988694756775E-3</v>
      </c>
      <c r="E125" s="8">
        <f t="shared" si="221"/>
        <v>12.463762021061582</v>
      </c>
      <c r="F125" s="8">
        <f t="shared" si="222"/>
        <v>11.153005144099842</v>
      </c>
      <c r="G125" s="8">
        <f t="shared" si="223"/>
        <v>11.636912177328092</v>
      </c>
      <c r="H125" s="8">
        <f t="shared" si="224"/>
        <v>15.207304505103499</v>
      </c>
      <c r="I125" s="8">
        <f t="shared" si="225"/>
        <v>15.432426472735772</v>
      </c>
      <c r="J125" s="8">
        <f t="shared" si="226"/>
        <v>18.767177114765246</v>
      </c>
      <c r="K125" s="16">
        <f t="shared" si="115"/>
        <v>171.6186451339637</v>
      </c>
    </row>
    <row r="126" spans="1:12" x14ac:dyDescent="0.25">
      <c r="A126" s="11" t="s">
        <v>21</v>
      </c>
      <c r="B126" s="11" t="s">
        <v>3</v>
      </c>
      <c r="C126" s="2">
        <v>0.27700000000000008</v>
      </c>
      <c r="D126" s="1">
        <f t="shared" ref="D126" si="228">C126/C133</f>
        <v>2.5669724978088082E-5</v>
      </c>
      <c r="E126" s="8">
        <f t="shared" si="221"/>
        <v>3.9706291889983349E-2</v>
      </c>
      <c r="F126" s="8">
        <f t="shared" si="222"/>
        <v>3.5530562678730886E-2</v>
      </c>
      <c r="G126" s="8">
        <f t="shared" si="223"/>
        <v>3.7072164153190063E-2</v>
      </c>
      <c r="H126" s="8">
        <f t="shared" si="224"/>
        <v>4.8446501988656257E-2</v>
      </c>
      <c r="I126" s="8">
        <f t="shared" si="225"/>
        <v>4.9163681805035095E-2</v>
      </c>
      <c r="J126" s="8">
        <f t="shared" si="226"/>
        <v>5.9787326748590726E-2</v>
      </c>
      <c r="K126" s="16">
        <f t="shared" si="115"/>
        <v>0.54673219898916459</v>
      </c>
    </row>
    <row r="127" spans="1:12" x14ac:dyDescent="0.25">
      <c r="A127" s="11" t="s">
        <v>21</v>
      </c>
      <c r="B127" s="11" t="s">
        <v>4</v>
      </c>
      <c r="C127" s="2">
        <v>0</v>
      </c>
      <c r="D127" s="1">
        <f t="shared" ref="D127" si="229">C127/C133</f>
        <v>0</v>
      </c>
      <c r="E127" s="8">
        <f t="shared" si="221"/>
        <v>0</v>
      </c>
      <c r="F127" s="8">
        <f t="shared" si="222"/>
        <v>0</v>
      </c>
      <c r="G127" s="8">
        <f t="shared" si="223"/>
        <v>0</v>
      </c>
      <c r="H127" s="8">
        <f t="shared" si="224"/>
        <v>0</v>
      </c>
      <c r="I127" s="8">
        <f t="shared" si="225"/>
        <v>0</v>
      </c>
      <c r="J127" s="8">
        <f t="shared" si="226"/>
        <v>0</v>
      </c>
      <c r="K127" s="16">
        <f t="shared" si="115"/>
        <v>0</v>
      </c>
    </row>
    <row r="128" spans="1:12" x14ac:dyDescent="0.25">
      <c r="A128" s="11" t="s">
        <v>21</v>
      </c>
      <c r="B128" s="11" t="s">
        <v>5</v>
      </c>
      <c r="C128" s="2">
        <v>14.299999999999999</v>
      </c>
      <c r="D128" s="1">
        <f t="shared" ref="D128" si="230">C128/C133</f>
        <v>1.3251879681828861E-3</v>
      </c>
      <c r="E128" s="8">
        <f t="shared" si="221"/>
        <v>2.0498194008186346</v>
      </c>
      <c r="F128" s="8">
        <f t="shared" si="222"/>
        <v>1.8342492646420632</v>
      </c>
      <c r="G128" s="8">
        <f t="shared" si="223"/>
        <v>1.9138337450924827</v>
      </c>
      <c r="H128" s="8">
        <f t="shared" si="224"/>
        <v>2.501028803024492</v>
      </c>
      <c r="I128" s="8">
        <f t="shared" si="225"/>
        <v>2.538052887407948</v>
      </c>
      <c r="J128" s="8">
        <f t="shared" si="226"/>
        <v>3.0864937635554051</v>
      </c>
      <c r="K128" s="16">
        <f t="shared" si="115"/>
        <v>28.224803052509209</v>
      </c>
    </row>
    <row r="129" spans="1:12" x14ac:dyDescent="0.25">
      <c r="A129" s="11" t="s">
        <v>21</v>
      </c>
      <c r="B129" s="11" t="s">
        <v>6</v>
      </c>
      <c r="C129" s="2">
        <v>2186.8750000000077</v>
      </c>
      <c r="D129" s="1">
        <v>0.28519178672932394</v>
      </c>
      <c r="E129" s="8">
        <f t="shared" si="221"/>
        <v>441.13866970396492</v>
      </c>
      <c r="F129" s="8">
        <f t="shared" si="222"/>
        <v>394.74613236001323</v>
      </c>
      <c r="G129" s="8">
        <f t="shared" si="223"/>
        <v>411.8733933377161</v>
      </c>
      <c r="H129" s="8">
        <f t="shared" si="224"/>
        <v>538.24279281233271</v>
      </c>
      <c r="I129" s="8">
        <f t="shared" si="225"/>
        <v>546.21069248456831</v>
      </c>
      <c r="J129" s="8">
        <f t="shared" si="226"/>
        <v>664.23986052656426</v>
      </c>
      <c r="K129" s="16">
        <f t="shared" si="115"/>
        <v>5183.6117330118968</v>
      </c>
      <c r="L129" s="19"/>
    </row>
    <row r="130" spans="1:12" x14ac:dyDescent="0.25">
      <c r="A130" s="11" t="s">
        <v>21</v>
      </c>
      <c r="B130" s="11" t="s">
        <v>7</v>
      </c>
      <c r="C130" s="2">
        <v>8459.3499999999876</v>
      </c>
      <c r="D130" s="1">
        <v>0.70139907177192362</v>
      </c>
      <c r="E130" s="8">
        <f t="shared" si="221"/>
        <v>1084.9339562037524</v>
      </c>
      <c r="F130" s="8">
        <f t="shared" si="222"/>
        <v>970.83641151858399</v>
      </c>
      <c r="G130" s="8">
        <f t="shared" si="223"/>
        <v>1012.959100567683</v>
      </c>
      <c r="H130" s="8">
        <f t="shared" si="224"/>
        <v>1323.7512888995143</v>
      </c>
      <c r="I130" s="8">
        <f t="shared" si="225"/>
        <v>1343.3474964136603</v>
      </c>
      <c r="J130" s="8">
        <f t="shared" si="226"/>
        <v>1633.627766599843</v>
      </c>
      <c r="K130" s="16">
        <f t="shared" si="115"/>
        <v>15829.507419274794</v>
      </c>
    </row>
    <row r="131" spans="1:12" x14ac:dyDescent="0.25">
      <c r="A131" s="11" t="s">
        <v>21</v>
      </c>
      <c r="B131" s="11" t="s">
        <v>8</v>
      </c>
      <c r="C131" s="2">
        <v>0</v>
      </c>
      <c r="D131" s="1">
        <f t="shared" ref="D131" si="231">C131/C133</f>
        <v>0</v>
      </c>
      <c r="E131" s="8">
        <f t="shared" si="221"/>
        <v>0</v>
      </c>
      <c r="F131" s="8">
        <f t="shared" si="222"/>
        <v>0</v>
      </c>
      <c r="G131" s="8">
        <f t="shared" si="223"/>
        <v>0</v>
      </c>
      <c r="H131" s="8">
        <f t="shared" si="224"/>
        <v>0</v>
      </c>
      <c r="I131" s="8">
        <f t="shared" si="225"/>
        <v>0</v>
      </c>
      <c r="J131" s="8">
        <f t="shared" si="226"/>
        <v>0</v>
      </c>
      <c r="K131" s="16">
        <f t="shared" si="115"/>
        <v>0</v>
      </c>
    </row>
    <row r="132" spans="1:12" x14ac:dyDescent="0.25">
      <c r="A132" s="12" t="s">
        <v>21</v>
      </c>
      <c r="B132" s="12" t="s">
        <v>9</v>
      </c>
      <c r="C132" s="2">
        <v>0.30000000000000004</v>
      </c>
      <c r="D132" s="1">
        <f t="shared" ref="D132" si="232">C132/C133</f>
        <v>2.7801146185654958E-5</v>
      </c>
      <c r="E132" s="8">
        <f t="shared" si="221"/>
        <v>4.3003204212978353E-2</v>
      </c>
      <c r="F132" s="8">
        <f t="shared" si="222"/>
        <v>3.8480753803679657E-2</v>
      </c>
      <c r="G132" s="8">
        <f t="shared" si="223"/>
        <v>4.0150358288653487E-2</v>
      </c>
      <c r="H132" s="8">
        <f t="shared" si="224"/>
        <v>5.2469135727786553E-2</v>
      </c>
      <c r="I132" s="8">
        <f t="shared" si="225"/>
        <v>5.3245864770796118E-2</v>
      </c>
      <c r="J132" s="8">
        <f t="shared" si="226"/>
        <v>6.4751617417246263E-2</v>
      </c>
      <c r="K132" s="17">
        <f t="shared" si="115"/>
        <v>0.59212873536732613</v>
      </c>
    </row>
    <row r="133" spans="1:12" x14ac:dyDescent="0.25">
      <c r="B133" s="19">
        <f>1-D133</f>
        <v>0</v>
      </c>
      <c r="C133" s="3">
        <v>10790.921999999995</v>
      </c>
      <c r="D133" s="5">
        <f t="shared" ref="D133:E133" si="233">SUM(D124:D132)</f>
        <v>1</v>
      </c>
      <c r="E133" s="9">
        <f t="shared" si="233"/>
        <v>1546.814074707735</v>
      </c>
      <c r="F133" s="9">
        <f t="shared" ref="F133" si="234">SUM(F124:F132)</f>
        <v>1384.1427093223674</v>
      </c>
      <c r="G133" s="9">
        <f t="shared" ref="G133" si="235">SUM(G124:G132)</f>
        <v>1444.1979485497102</v>
      </c>
      <c r="H133" s="9">
        <f t="shared" ref="H133" si="236">SUM(H124:H132)</f>
        <v>1887.3011701531921</v>
      </c>
      <c r="I133" s="9">
        <f t="shared" ref="I133" si="237">SUM(I124:I132)</f>
        <v>1915.239911880695</v>
      </c>
      <c r="J133" s="9">
        <f t="shared" ref="J133" si="238">SUM(J124:J132)</f>
        <v>2329.0988430778184</v>
      </c>
      <c r="K133" s="18">
        <f t="shared" ref="K133:K142" si="239">SUM(C133:J133)</f>
        <v>21298.716657691512</v>
      </c>
    </row>
    <row r="134" spans="1:12" x14ac:dyDescent="0.25">
      <c r="A134" s="10" t="s">
        <v>22</v>
      </c>
      <c r="B134" s="10" t="s">
        <v>1</v>
      </c>
      <c r="C134" s="2">
        <v>10.709999999999999</v>
      </c>
      <c r="D134" s="1">
        <f t="shared" ref="D134" si="240">C134/C143</f>
        <v>3.3606652799346307E-3</v>
      </c>
      <c r="E134" s="8">
        <f t="shared" ref="E134:E142" si="241">SUMIFS(P:P,$M:$M,$A134)*$D134</f>
        <v>1.5352143904033266</v>
      </c>
      <c r="F134" s="8">
        <f t="shared" ref="F134:F142" si="242">SUMIFS(Q:Q,$M:$M,$A134)*$D134</f>
        <v>1.3737629107913631</v>
      </c>
      <c r="G134" s="8">
        <f t="shared" ref="G134:G142" si="243">SUMIFS(R:R,$M:$M,$A134)*$D134</f>
        <v>1.4333677909049289</v>
      </c>
      <c r="H134" s="8">
        <f t="shared" ref="H134:H142" si="244">SUMIFS(S:S,$M:$M,$A134)*$D134</f>
        <v>1.8731481454819792</v>
      </c>
      <c r="I134" s="8">
        <f t="shared" ref="I134:I142" si="245">SUMIFS(T:T,$M:$M,$A134)*$D134</f>
        <v>1.9008773723174208</v>
      </c>
      <c r="J134" s="8">
        <f t="shared" ref="J134:J142" si="246">SUMIFS(U:U,$M:$M,$A134)*$D134</f>
        <v>2.311632741795691</v>
      </c>
      <c r="K134" s="15">
        <f t="shared" si="239"/>
        <v>21.141364016974645</v>
      </c>
    </row>
    <row r="135" spans="1:12" x14ac:dyDescent="0.25">
      <c r="A135" s="11" t="s">
        <v>22</v>
      </c>
      <c r="B135" s="11" t="s">
        <v>2</v>
      </c>
      <c r="C135" s="2">
        <v>23.149999999999988</v>
      </c>
      <c r="D135" s="1">
        <f t="shared" ref="D135" si="247">C135/C143</f>
        <v>7.264183121427327E-3</v>
      </c>
      <c r="E135" s="8">
        <f t="shared" si="241"/>
        <v>3.3184139251014941</v>
      </c>
      <c r="F135" s="8">
        <f t="shared" si="242"/>
        <v>2.969431501850611</v>
      </c>
      <c r="G135" s="8">
        <f t="shared" si="243"/>
        <v>3.0982693146077587</v>
      </c>
      <c r="H135" s="8">
        <f t="shared" si="244"/>
        <v>4.0488683069941924</v>
      </c>
      <c r="I135" s="8">
        <f t="shared" si="245"/>
        <v>4.1088058981464313</v>
      </c>
      <c r="J135" s="8">
        <f t="shared" si="246"/>
        <v>4.9966664773641671</v>
      </c>
      <c r="K135" s="16">
        <f t="shared" si="239"/>
        <v>45.697719607186066</v>
      </c>
    </row>
    <row r="136" spans="1:12" x14ac:dyDescent="0.25">
      <c r="A136" s="11" t="s">
        <v>22</v>
      </c>
      <c r="B136" s="11" t="s">
        <v>3</v>
      </c>
      <c r="C136" s="2">
        <v>0.25900000000000001</v>
      </c>
      <c r="D136" s="1">
        <f t="shared" ref="D136" si="248">C136/C143</f>
        <v>8.1270990429791742E-5</v>
      </c>
      <c r="E136" s="8">
        <f t="shared" si="241"/>
        <v>3.7126099637204639E-2</v>
      </c>
      <c r="F136" s="8">
        <f t="shared" si="242"/>
        <v>3.3221717450510092E-2</v>
      </c>
      <c r="G136" s="8">
        <f t="shared" si="243"/>
        <v>3.4663142655870838E-2</v>
      </c>
      <c r="H136" s="8">
        <f t="shared" si="244"/>
        <v>4.529835384498905E-2</v>
      </c>
      <c r="I136" s="8">
        <f t="shared" si="245"/>
        <v>4.5968929918787309E-2</v>
      </c>
      <c r="J136" s="8">
        <f t="shared" si="246"/>
        <v>5.5902229703555947E-2</v>
      </c>
      <c r="K136" s="16">
        <f t="shared" si="239"/>
        <v>0.51126174420134773</v>
      </c>
    </row>
    <row r="137" spans="1:12" x14ac:dyDescent="0.25">
      <c r="A137" s="11" t="s">
        <v>22</v>
      </c>
      <c r="B137" s="11" t="s">
        <v>4</v>
      </c>
      <c r="C137" s="2">
        <v>0</v>
      </c>
      <c r="D137" s="1">
        <f t="shared" ref="D137" si="249">C137/C143</f>
        <v>0</v>
      </c>
      <c r="E137" s="8">
        <f t="shared" si="241"/>
        <v>0</v>
      </c>
      <c r="F137" s="8">
        <f t="shared" si="242"/>
        <v>0</v>
      </c>
      <c r="G137" s="8">
        <f t="shared" si="243"/>
        <v>0</v>
      </c>
      <c r="H137" s="8">
        <f t="shared" si="244"/>
        <v>0</v>
      </c>
      <c r="I137" s="8">
        <f t="shared" si="245"/>
        <v>0</v>
      </c>
      <c r="J137" s="8">
        <f t="shared" si="246"/>
        <v>0</v>
      </c>
      <c r="K137" s="16">
        <f t="shared" si="239"/>
        <v>0</v>
      </c>
    </row>
    <row r="138" spans="1:12" x14ac:dyDescent="0.25">
      <c r="A138" s="11" t="s">
        <v>22</v>
      </c>
      <c r="B138" s="11" t="s">
        <v>5</v>
      </c>
      <c r="C138" s="2">
        <v>0</v>
      </c>
      <c r="D138" s="1">
        <f t="shared" ref="D138" si="250">C138/C143</f>
        <v>0</v>
      </c>
      <c r="E138" s="8">
        <f t="shared" si="241"/>
        <v>0</v>
      </c>
      <c r="F138" s="8">
        <f t="shared" si="242"/>
        <v>0</v>
      </c>
      <c r="G138" s="8">
        <f t="shared" si="243"/>
        <v>0</v>
      </c>
      <c r="H138" s="8">
        <f t="shared" si="244"/>
        <v>0</v>
      </c>
      <c r="I138" s="8">
        <f t="shared" si="245"/>
        <v>0</v>
      </c>
      <c r="J138" s="8">
        <f t="shared" si="246"/>
        <v>0</v>
      </c>
      <c r="K138" s="16">
        <f t="shared" si="239"/>
        <v>0</v>
      </c>
    </row>
    <row r="139" spans="1:12" x14ac:dyDescent="0.25">
      <c r="A139" s="11" t="s">
        <v>22</v>
      </c>
      <c r="B139" s="11" t="s">
        <v>6</v>
      </c>
      <c r="C139" s="2">
        <v>798.79999999999961</v>
      </c>
      <c r="D139" s="1">
        <v>0.27414625243546881</v>
      </c>
      <c r="E139" s="8">
        <f t="shared" si="241"/>
        <v>125.23510577711009</v>
      </c>
      <c r="F139" s="8">
        <f t="shared" si="242"/>
        <v>112.06470218171178</v>
      </c>
      <c r="G139" s="8">
        <f t="shared" si="243"/>
        <v>116.92696996171436</v>
      </c>
      <c r="H139" s="8">
        <f t="shared" si="244"/>
        <v>152.80205006025517</v>
      </c>
      <c r="I139" s="8">
        <f t="shared" si="245"/>
        <v>155.06406159269116</v>
      </c>
      <c r="J139" s="8">
        <f t="shared" si="246"/>
        <v>188.5714286853177</v>
      </c>
      <c r="K139" s="16">
        <f t="shared" si="239"/>
        <v>1649.7384645112352</v>
      </c>
      <c r="L139" s="19"/>
    </row>
    <row r="140" spans="1:12" x14ac:dyDescent="0.25">
      <c r="A140" s="11" t="s">
        <v>22</v>
      </c>
      <c r="B140" s="11" t="s">
        <v>7</v>
      </c>
      <c r="C140" s="2">
        <v>2353.9500000000007</v>
      </c>
      <c r="D140" s="1">
        <v>0.71514762817273947</v>
      </c>
      <c r="E140" s="8">
        <f t="shared" si="241"/>
        <v>326.6927344977816</v>
      </c>
      <c r="F140" s="8">
        <f t="shared" si="242"/>
        <v>292.33595300012496</v>
      </c>
      <c r="G140" s="8">
        <f t="shared" si="243"/>
        <v>305.0198370201266</v>
      </c>
      <c r="H140" s="8">
        <f t="shared" si="244"/>
        <v>398.60484215900829</v>
      </c>
      <c r="I140" s="8">
        <f t="shared" si="245"/>
        <v>404.50560559440038</v>
      </c>
      <c r="J140" s="8">
        <f t="shared" si="246"/>
        <v>491.91411068875959</v>
      </c>
      <c r="K140" s="16">
        <f t="shared" si="239"/>
        <v>4573.7382305883748</v>
      </c>
    </row>
    <row r="141" spans="1:12" x14ac:dyDescent="0.25">
      <c r="A141" s="11" t="s">
        <v>22</v>
      </c>
      <c r="B141" s="11" t="s">
        <v>8</v>
      </c>
      <c r="C141" s="2">
        <v>0</v>
      </c>
      <c r="D141" s="1">
        <f t="shared" ref="D141" si="251">C141/C143</f>
        <v>0</v>
      </c>
      <c r="E141" s="8">
        <f t="shared" si="241"/>
        <v>0</v>
      </c>
      <c r="F141" s="8">
        <f t="shared" si="242"/>
        <v>0</v>
      </c>
      <c r="G141" s="8">
        <f t="shared" si="243"/>
        <v>0</v>
      </c>
      <c r="H141" s="8">
        <f t="shared" si="244"/>
        <v>0</v>
      </c>
      <c r="I141" s="8">
        <f t="shared" si="245"/>
        <v>0</v>
      </c>
      <c r="J141" s="8">
        <f t="shared" si="246"/>
        <v>0</v>
      </c>
      <c r="K141" s="16">
        <f t="shared" si="239"/>
        <v>0</v>
      </c>
    </row>
    <row r="142" spans="1:12" x14ac:dyDescent="0.25">
      <c r="A142" s="12" t="s">
        <v>22</v>
      </c>
      <c r="B142" s="12" t="s">
        <v>9</v>
      </c>
      <c r="C142" s="2">
        <v>0</v>
      </c>
      <c r="D142" s="1">
        <f t="shared" ref="D142" si="252">C142/C143</f>
        <v>0</v>
      </c>
      <c r="E142" s="8">
        <f t="shared" si="241"/>
        <v>0</v>
      </c>
      <c r="F142" s="8">
        <f t="shared" si="242"/>
        <v>0</v>
      </c>
      <c r="G142" s="8">
        <f t="shared" si="243"/>
        <v>0</v>
      </c>
      <c r="H142" s="8">
        <f t="shared" si="244"/>
        <v>0</v>
      </c>
      <c r="I142" s="8">
        <f t="shared" si="245"/>
        <v>0</v>
      </c>
      <c r="J142" s="8">
        <f t="shared" si="246"/>
        <v>0</v>
      </c>
      <c r="K142" s="17">
        <f t="shared" si="239"/>
        <v>0</v>
      </c>
    </row>
    <row r="143" spans="1:12" x14ac:dyDescent="0.25">
      <c r="B143" s="19">
        <f>1-D143</f>
        <v>0</v>
      </c>
      <c r="C143" s="3">
        <v>3186.8690000000006</v>
      </c>
      <c r="D143" s="5">
        <f t="shared" ref="D143:E143" si="253">SUM(D134:D142)</f>
        <v>1</v>
      </c>
      <c r="E143" s="9">
        <f t="shared" si="253"/>
        <v>456.81859469003371</v>
      </c>
      <c r="F143" s="9">
        <f t="shared" ref="F143" si="254">SUM(F134:F142)</f>
        <v>408.77707131192921</v>
      </c>
      <c r="G143" s="9">
        <f t="shared" ref="G143" si="255">SUM(G134:G142)</f>
        <v>426.5131072300095</v>
      </c>
      <c r="H143" s="9">
        <f t="shared" ref="H143" si="256">SUM(H134:H142)</f>
        <v>557.37420702558461</v>
      </c>
      <c r="I143" s="9">
        <f t="shared" ref="I143" si="257">SUM(I134:I142)</f>
        <v>565.62531938747418</v>
      </c>
      <c r="J143" s="9">
        <f t="shared" ref="J143" si="258">SUM(J134:J142)</f>
        <v>687.8497408229407</v>
      </c>
      <c r="K14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fohom</dc:creator>
  <cp:lastModifiedBy>MOUTEN</cp:lastModifiedBy>
  <dcterms:created xsi:type="dcterms:W3CDTF">2026-07-06T08:36:21Z</dcterms:created>
  <dcterms:modified xsi:type="dcterms:W3CDTF">2026-07-07T15:45:50Z</dcterms:modified>
</cp:coreProperties>
</file>