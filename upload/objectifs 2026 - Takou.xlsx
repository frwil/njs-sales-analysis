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ves\Docs\"/>
    </mc:Choice>
  </mc:AlternateContent>
  <xr:revisionPtr revIDLastSave="0" documentId="8_{65D9574D-A84B-456C-9B18-7D3FA6E9D121}" xr6:coauthVersionLast="47" xr6:coauthVersionMax="47" xr10:uidLastSave="{00000000-0000-0000-0000-000000000000}"/>
  <bookViews>
    <workbookView xWindow="-120" yWindow="-120" windowWidth="29040" windowHeight="15720" xr2:uid="{4044F211-0B70-4807-8473-4CBBB5C7A506}"/>
  </bookViews>
  <sheets>
    <sheet name="Ag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26" i="1" l="1"/>
  <c r="R325" i="1"/>
  <c r="R324" i="1"/>
  <c r="R323" i="1"/>
  <c r="R322" i="1"/>
  <c r="R321" i="1"/>
  <c r="R320" i="1"/>
  <c r="R319" i="1"/>
  <c r="R318" i="1"/>
  <c r="R317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B316" i="1"/>
  <c r="R314" i="1"/>
  <c r="R313" i="1"/>
  <c r="R312" i="1"/>
  <c r="R311" i="1"/>
  <c r="R310" i="1"/>
  <c r="R309" i="1"/>
  <c r="R308" i="1"/>
  <c r="R307" i="1"/>
  <c r="R306" i="1"/>
  <c r="R305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R302" i="1"/>
  <c r="R301" i="1"/>
  <c r="R300" i="1"/>
  <c r="R299" i="1"/>
  <c r="R298" i="1"/>
  <c r="R297" i="1"/>
  <c r="R296" i="1"/>
  <c r="R295" i="1"/>
  <c r="R294" i="1"/>
  <c r="R293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B292" i="1"/>
  <c r="R290" i="1"/>
  <c r="R289" i="1"/>
  <c r="R288" i="1"/>
  <c r="R287" i="1"/>
  <c r="R286" i="1"/>
  <c r="R285" i="1"/>
  <c r="R284" i="1"/>
  <c r="R283" i="1"/>
  <c r="R282" i="1"/>
  <c r="R281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B280" i="1" s="1"/>
  <c r="R278" i="1"/>
  <c r="R277" i="1"/>
  <c r="R276" i="1"/>
  <c r="R275" i="1"/>
  <c r="R274" i="1"/>
  <c r="R273" i="1"/>
  <c r="R272" i="1"/>
  <c r="R271" i="1"/>
  <c r="R270" i="1"/>
  <c r="R269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B268" i="1" s="1"/>
  <c r="R266" i="1"/>
  <c r="R265" i="1"/>
  <c r="R264" i="1"/>
  <c r="R263" i="1"/>
  <c r="R262" i="1"/>
  <c r="R261" i="1"/>
  <c r="R260" i="1"/>
  <c r="R259" i="1"/>
  <c r="R258" i="1"/>
  <c r="R257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B256" i="1"/>
  <c r="R254" i="1"/>
  <c r="R253" i="1"/>
  <c r="R252" i="1"/>
  <c r="R251" i="1"/>
  <c r="R250" i="1"/>
  <c r="R249" i="1"/>
  <c r="R248" i="1"/>
  <c r="R247" i="1"/>
  <c r="R246" i="1"/>
  <c r="R245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B244" i="1"/>
  <c r="R242" i="1"/>
  <c r="R241" i="1"/>
  <c r="R240" i="1"/>
  <c r="R239" i="1"/>
  <c r="R238" i="1"/>
  <c r="R237" i="1"/>
  <c r="R236" i="1"/>
  <c r="R235" i="1"/>
  <c r="R234" i="1"/>
  <c r="R233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R230" i="1"/>
  <c r="R229" i="1"/>
  <c r="R228" i="1"/>
  <c r="R227" i="1"/>
  <c r="R226" i="1"/>
  <c r="R225" i="1"/>
  <c r="R224" i="1"/>
  <c r="R223" i="1"/>
  <c r="R222" i="1"/>
  <c r="R221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B220" i="1"/>
  <c r="R218" i="1"/>
  <c r="R217" i="1"/>
  <c r="R216" i="1"/>
  <c r="R215" i="1"/>
  <c r="R214" i="1"/>
  <c r="R213" i="1"/>
  <c r="R212" i="1"/>
  <c r="R211" i="1"/>
  <c r="R210" i="1"/>
  <c r="R209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B208" i="1" s="1"/>
  <c r="R206" i="1"/>
  <c r="R205" i="1"/>
  <c r="R204" i="1"/>
  <c r="R203" i="1"/>
  <c r="R202" i="1"/>
  <c r="R201" i="1"/>
  <c r="R200" i="1"/>
  <c r="R199" i="1"/>
  <c r="R198" i="1"/>
  <c r="R197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R194" i="1"/>
  <c r="R193" i="1"/>
  <c r="R192" i="1"/>
  <c r="R191" i="1"/>
  <c r="R190" i="1"/>
  <c r="R189" i="1"/>
  <c r="R188" i="1"/>
  <c r="R187" i="1"/>
  <c r="R186" i="1"/>
  <c r="R185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B184" i="1" s="1"/>
  <c r="R182" i="1"/>
  <c r="R181" i="1"/>
  <c r="R180" i="1"/>
  <c r="R179" i="1"/>
  <c r="R178" i="1"/>
  <c r="R177" i="1"/>
  <c r="R176" i="1"/>
  <c r="R175" i="1"/>
  <c r="R174" i="1"/>
  <c r="R173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R170" i="1"/>
  <c r="R169" i="1"/>
  <c r="R168" i="1"/>
  <c r="R167" i="1"/>
  <c r="R166" i="1"/>
  <c r="R165" i="1"/>
  <c r="R164" i="1"/>
  <c r="R163" i="1"/>
  <c r="R162" i="1"/>
  <c r="R161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B160" i="1" s="1"/>
  <c r="R158" i="1"/>
  <c r="R157" i="1"/>
  <c r="R156" i="1"/>
  <c r="R155" i="1"/>
  <c r="R154" i="1"/>
  <c r="R153" i="1"/>
  <c r="R152" i="1"/>
  <c r="R151" i="1"/>
  <c r="R150" i="1"/>
  <c r="R149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B148" i="1" s="1"/>
  <c r="R146" i="1"/>
  <c r="R145" i="1"/>
  <c r="R144" i="1"/>
  <c r="R143" i="1"/>
  <c r="R142" i="1"/>
  <c r="R141" i="1"/>
  <c r="R140" i="1"/>
  <c r="R139" i="1"/>
  <c r="R138" i="1"/>
  <c r="R137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B136" i="1"/>
  <c r="R134" i="1"/>
  <c r="R133" i="1"/>
  <c r="R132" i="1"/>
  <c r="R131" i="1"/>
  <c r="R130" i="1"/>
  <c r="R129" i="1"/>
  <c r="R128" i="1"/>
  <c r="R127" i="1"/>
  <c r="R126" i="1"/>
  <c r="R125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B124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R110" i="1"/>
  <c r="R109" i="1"/>
  <c r="R108" i="1"/>
  <c r="R107" i="1"/>
  <c r="R106" i="1"/>
  <c r="R105" i="1"/>
  <c r="R104" i="1"/>
  <c r="R103" i="1"/>
  <c r="R102" i="1"/>
  <c r="R101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B100" i="1" s="1"/>
  <c r="R98" i="1"/>
  <c r="R97" i="1"/>
  <c r="R96" i="1"/>
  <c r="R95" i="1"/>
  <c r="R94" i="1"/>
  <c r="R93" i="1"/>
  <c r="R92" i="1"/>
  <c r="R91" i="1"/>
  <c r="R90" i="1"/>
  <c r="R89" i="1"/>
  <c r="P88" i="1"/>
  <c r="O88" i="1"/>
  <c r="N88" i="1"/>
  <c r="M88" i="1"/>
  <c r="L88" i="1"/>
  <c r="K88" i="1"/>
  <c r="J88" i="1"/>
  <c r="I88" i="1"/>
  <c r="H88" i="1"/>
  <c r="G88" i="1"/>
  <c r="F88" i="1"/>
  <c r="E88" i="1"/>
  <c r="B88" i="1" s="1"/>
  <c r="R86" i="1"/>
  <c r="R85" i="1"/>
  <c r="R84" i="1"/>
  <c r="R83" i="1"/>
  <c r="R82" i="1"/>
  <c r="R81" i="1"/>
  <c r="R80" i="1"/>
  <c r="R79" i="1"/>
  <c r="R78" i="1"/>
  <c r="R77" i="1"/>
  <c r="P76" i="1"/>
  <c r="O76" i="1"/>
  <c r="N76" i="1"/>
  <c r="M76" i="1"/>
  <c r="L76" i="1"/>
  <c r="K76" i="1"/>
  <c r="J76" i="1"/>
  <c r="I76" i="1"/>
  <c r="H76" i="1"/>
  <c r="G76" i="1"/>
  <c r="F76" i="1"/>
  <c r="E76" i="1"/>
  <c r="B76" i="1"/>
  <c r="R74" i="1"/>
  <c r="R73" i="1"/>
  <c r="R72" i="1"/>
  <c r="R71" i="1"/>
  <c r="R70" i="1"/>
  <c r="R69" i="1"/>
  <c r="R68" i="1"/>
  <c r="R67" i="1"/>
  <c r="R66" i="1"/>
  <c r="R65" i="1"/>
  <c r="P64" i="1"/>
  <c r="O64" i="1"/>
  <c r="N64" i="1"/>
  <c r="M64" i="1"/>
  <c r="L64" i="1"/>
  <c r="K64" i="1"/>
  <c r="J64" i="1"/>
  <c r="I64" i="1"/>
  <c r="H64" i="1"/>
  <c r="G64" i="1"/>
  <c r="F64" i="1"/>
  <c r="E64" i="1"/>
  <c r="B64" i="1"/>
  <c r="R62" i="1"/>
  <c r="R61" i="1"/>
  <c r="R60" i="1"/>
  <c r="R59" i="1"/>
  <c r="R58" i="1"/>
  <c r="R57" i="1"/>
  <c r="R56" i="1"/>
  <c r="R55" i="1"/>
  <c r="R54" i="1"/>
  <c r="R53" i="1"/>
  <c r="P52" i="1"/>
  <c r="O52" i="1"/>
  <c r="N52" i="1"/>
  <c r="M52" i="1"/>
  <c r="L52" i="1"/>
  <c r="K52" i="1"/>
  <c r="J52" i="1"/>
  <c r="I52" i="1"/>
  <c r="H52" i="1"/>
  <c r="G52" i="1"/>
  <c r="F52" i="1"/>
  <c r="E52" i="1"/>
  <c r="B52" i="1"/>
  <c r="R50" i="1"/>
  <c r="R49" i="1"/>
  <c r="R48" i="1"/>
  <c r="R47" i="1"/>
  <c r="R46" i="1"/>
  <c r="R45" i="1"/>
  <c r="R44" i="1"/>
  <c r="R43" i="1"/>
  <c r="R42" i="1"/>
  <c r="R41" i="1"/>
  <c r="R51" i="1" s="1"/>
  <c r="P40" i="1"/>
  <c r="O40" i="1"/>
  <c r="N40" i="1"/>
  <c r="M40" i="1"/>
  <c r="L40" i="1"/>
  <c r="K40" i="1"/>
  <c r="J40" i="1"/>
  <c r="I40" i="1"/>
  <c r="H40" i="1"/>
  <c r="G40" i="1"/>
  <c r="F40" i="1"/>
  <c r="E40" i="1"/>
  <c r="B40" i="1"/>
  <c r="R38" i="1"/>
  <c r="R37" i="1"/>
  <c r="R36" i="1"/>
  <c r="R35" i="1"/>
  <c r="R34" i="1"/>
  <c r="R33" i="1"/>
  <c r="R32" i="1"/>
  <c r="R31" i="1"/>
  <c r="R30" i="1"/>
  <c r="R29" i="1"/>
  <c r="P28" i="1"/>
  <c r="O28" i="1"/>
  <c r="N28" i="1"/>
  <c r="M28" i="1"/>
  <c r="L28" i="1"/>
  <c r="K28" i="1"/>
  <c r="J28" i="1"/>
  <c r="I28" i="1"/>
  <c r="H28" i="1"/>
  <c r="R28" i="1" s="1"/>
  <c r="G28" i="1"/>
  <c r="F28" i="1"/>
  <c r="E28" i="1"/>
  <c r="B28" i="1"/>
  <c r="R26" i="1"/>
  <c r="D26" i="1"/>
  <c r="R25" i="1"/>
  <c r="R24" i="1"/>
  <c r="R23" i="1"/>
  <c r="R22" i="1"/>
  <c r="R21" i="1"/>
  <c r="R20" i="1"/>
  <c r="R19" i="1"/>
  <c r="R18" i="1"/>
  <c r="R17" i="1"/>
  <c r="P16" i="1"/>
  <c r="O16" i="1"/>
  <c r="N16" i="1"/>
  <c r="M16" i="1"/>
  <c r="L16" i="1"/>
  <c r="K16" i="1"/>
  <c r="J16" i="1"/>
  <c r="I16" i="1"/>
  <c r="H16" i="1"/>
  <c r="G16" i="1"/>
  <c r="F16" i="1"/>
  <c r="E16" i="1"/>
  <c r="B16" i="1"/>
  <c r="R14" i="1"/>
  <c r="R13" i="1"/>
  <c r="R12" i="1"/>
  <c r="R11" i="1"/>
  <c r="S11" i="1" s="1"/>
  <c r="R10" i="1"/>
  <c r="R9" i="1"/>
  <c r="S9" i="1" s="1"/>
  <c r="R8" i="1"/>
  <c r="R7" i="1"/>
  <c r="R6" i="1"/>
  <c r="R5" i="1"/>
  <c r="R4" i="1"/>
  <c r="S12" i="1" l="1"/>
  <c r="R268" i="1"/>
  <c r="S7" i="1"/>
  <c r="R88" i="1"/>
  <c r="S93" i="1" s="1"/>
  <c r="S140" i="1"/>
  <c r="S5" i="1"/>
  <c r="S94" i="1"/>
  <c r="R148" i="1"/>
  <c r="S152" i="1" s="1"/>
  <c r="S6" i="1"/>
  <c r="R136" i="1"/>
  <c r="S146" i="1" s="1"/>
  <c r="S14" i="1"/>
  <c r="S8" i="1"/>
  <c r="R184" i="1"/>
  <c r="R292" i="1"/>
  <c r="S13" i="1"/>
  <c r="R100" i="1"/>
  <c r="S108" i="1" s="1"/>
  <c r="S10" i="1"/>
  <c r="S29" i="1"/>
  <c r="S37" i="1"/>
  <c r="S32" i="1"/>
  <c r="S57" i="1"/>
  <c r="S36" i="1"/>
  <c r="S141" i="1"/>
  <c r="S137" i="1"/>
  <c r="S145" i="1"/>
  <c r="S142" i="1"/>
  <c r="S143" i="1"/>
  <c r="S149" i="1"/>
  <c r="S30" i="1"/>
  <c r="S81" i="1"/>
  <c r="S158" i="1"/>
  <c r="S150" i="1"/>
  <c r="S156" i="1"/>
  <c r="S157" i="1"/>
  <c r="S34" i="1"/>
  <c r="S106" i="1"/>
  <c r="S103" i="1"/>
  <c r="S102" i="1"/>
  <c r="R16" i="1"/>
  <c r="S20" i="1" s="1"/>
  <c r="S110" i="1"/>
  <c r="S35" i="1"/>
  <c r="R76" i="1"/>
  <c r="S77" i="1" s="1"/>
  <c r="S165" i="1"/>
  <c r="S98" i="1"/>
  <c r="S97" i="1"/>
  <c r="S33" i="1"/>
  <c r="R40" i="1"/>
  <c r="S105" i="1"/>
  <c r="S139" i="1"/>
  <c r="S101" i="1"/>
  <c r="S261" i="1"/>
  <c r="S133" i="1"/>
  <c r="S170" i="1"/>
  <c r="S222" i="1"/>
  <c r="R64" i="1"/>
  <c r="S66" i="1" s="1"/>
  <c r="S91" i="1"/>
  <c r="S131" i="1"/>
  <c r="S212" i="1"/>
  <c r="S305" i="1"/>
  <c r="S181" i="1"/>
  <c r="S31" i="1"/>
  <c r="S38" i="1"/>
  <c r="R52" i="1"/>
  <c r="S58" i="1" s="1"/>
  <c r="S107" i="1"/>
  <c r="S95" i="1"/>
  <c r="B112" i="1"/>
  <c r="R112" i="1"/>
  <c r="S128" i="1"/>
  <c r="S155" i="1"/>
  <c r="R124" i="1"/>
  <c r="S125" i="1" s="1"/>
  <c r="S144" i="1"/>
  <c r="S151" i="1"/>
  <c r="S271" i="1"/>
  <c r="S104" i="1"/>
  <c r="S127" i="1"/>
  <c r="S134" i="1"/>
  <c r="B172" i="1"/>
  <c r="R172" i="1"/>
  <c r="S175" i="1"/>
  <c r="S306" i="1"/>
  <c r="R160" i="1"/>
  <c r="S168" i="1" s="1"/>
  <c r="R232" i="1"/>
  <c r="B232" i="1"/>
  <c r="S138" i="1"/>
  <c r="R220" i="1"/>
  <c r="B196" i="1"/>
  <c r="R196" i="1"/>
  <c r="R256" i="1"/>
  <c r="B304" i="1"/>
  <c r="R304" i="1"/>
  <c r="R244" i="1"/>
  <c r="S245" i="1"/>
  <c r="S253" i="1"/>
  <c r="S273" i="1"/>
  <c r="S164" i="1"/>
  <c r="R208" i="1"/>
  <c r="S298" i="1"/>
  <c r="S307" i="1"/>
  <c r="R280" i="1"/>
  <c r="S266" i="1"/>
  <c r="S281" i="1"/>
  <c r="S270" i="1"/>
  <c r="S278" i="1"/>
  <c r="S283" i="1"/>
  <c r="R316" i="1"/>
  <c r="S310" i="1" s="1"/>
  <c r="S25" i="1" l="1"/>
  <c r="S24" i="1"/>
  <c r="S18" i="1"/>
  <c r="S323" i="1"/>
  <c r="S221" i="1"/>
  <c r="S242" i="1"/>
  <c r="S227" i="1"/>
  <c r="S153" i="1"/>
  <c r="S79" i="1"/>
  <c r="S178" i="1"/>
  <c r="S154" i="1"/>
  <c r="S21" i="1"/>
  <c r="S62" i="1"/>
  <c r="S129" i="1"/>
  <c r="S309" i="1"/>
  <c r="S287" i="1"/>
  <c r="S239" i="1"/>
  <c r="S85" i="1"/>
  <c r="S109" i="1"/>
  <c r="S59" i="1"/>
  <c r="S17" i="1"/>
  <c r="S61" i="1"/>
  <c r="S82" i="1"/>
  <c r="S297" i="1"/>
  <c r="S302" i="1"/>
  <c r="S192" i="1"/>
  <c r="S92" i="1"/>
  <c r="S89" i="1"/>
  <c r="S96" i="1"/>
  <c r="S26" i="1"/>
  <c r="S55" i="1"/>
  <c r="S300" i="1"/>
  <c r="S285" i="1"/>
  <c r="S78" i="1"/>
  <c r="S86" i="1"/>
  <c r="S90" i="1"/>
  <c r="S83" i="1"/>
  <c r="S235" i="1"/>
  <c r="S42" i="1"/>
  <c r="S50" i="1"/>
  <c r="S284" i="1"/>
  <c r="S265" i="1"/>
  <c r="S312" i="1"/>
  <c r="S237" i="1"/>
  <c r="S226" i="1"/>
  <c r="S299" i="1"/>
  <c r="S179" i="1"/>
  <c r="S120" i="1"/>
  <c r="S117" i="1"/>
  <c r="S114" i="1"/>
  <c r="S122" i="1"/>
  <c r="S121" i="1"/>
  <c r="S116" i="1"/>
  <c r="S115" i="1"/>
  <c r="S119" i="1"/>
  <c r="S118" i="1"/>
  <c r="S113" i="1"/>
  <c r="S173" i="1"/>
  <c r="S203" i="1"/>
  <c r="S262" i="1"/>
  <c r="S67" i="1"/>
  <c r="S68" i="1"/>
  <c r="S247" i="1"/>
  <c r="S250" i="1"/>
  <c r="S252" i="1"/>
  <c r="S223" i="1"/>
  <c r="S213" i="1"/>
  <c r="S286" i="1"/>
  <c r="S132" i="1"/>
  <c r="S130" i="1"/>
  <c r="S126" i="1"/>
  <c r="D2" i="1"/>
  <c r="D3" i="1" s="1"/>
  <c r="S43" i="1"/>
  <c r="S161" i="1"/>
  <c r="S236" i="1"/>
  <c r="S46" i="1"/>
  <c r="S41" i="1"/>
  <c r="S56" i="1"/>
  <c r="S48" i="1"/>
  <c r="S324" i="1"/>
  <c r="S214" i="1"/>
  <c r="S322" i="1"/>
  <c r="S234" i="1"/>
  <c r="S229" i="1"/>
  <c r="S257" i="1"/>
  <c r="S190" i="1"/>
  <c r="S230" i="1"/>
  <c r="S258" i="1"/>
  <c r="S74" i="1"/>
  <c r="S193" i="1"/>
  <c r="S23" i="1"/>
  <c r="S22" i="1"/>
  <c r="S19" i="1"/>
  <c r="S49" i="1"/>
  <c r="S201" i="1"/>
  <c r="S73" i="1"/>
  <c r="S326" i="1"/>
  <c r="S321" i="1"/>
  <c r="S295" i="1"/>
  <c r="S308" i="1"/>
  <c r="S293" i="1"/>
  <c r="S272" i="1"/>
  <c r="S269" i="1"/>
  <c r="S260" i="1"/>
  <c r="S320" i="1"/>
  <c r="S319" i="1"/>
  <c r="S277" i="1"/>
  <c r="S263" i="1"/>
  <c r="S254" i="1"/>
  <c r="S225" i="1"/>
  <c r="S210" i="1"/>
  <c r="S205" i="1"/>
  <c r="S202" i="1"/>
  <c r="S199" i="1"/>
  <c r="S194" i="1"/>
  <c r="S188" i="1"/>
  <c r="S290" i="1"/>
  <c r="S276" i="1"/>
  <c r="S314" i="1"/>
  <c r="S282" i="1"/>
  <c r="S240" i="1"/>
  <c r="S238" i="1"/>
  <c r="S233" i="1"/>
  <c r="S224" i="1"/>
  <c r="S206" i="1"/>
  <c r="S187" i="1"/>
  <c r="S180" i="1"/>
  <c r="S176" i="1"/>
  <c r="S215" i="1"/>
  <c r="S186" i="1"/>
  <c r="S275" i="1"/>
  <c r="S228" i="1"/>
  <c r="S211" i="1"/>
  <c r="S189" i="1"/>
  <c r="S246" i="1"/>
  <c r="S218" i="1"/>
  <c r="S241" i="1"/>
  <c r="S313" i="1"/>
  <c r="S217" i="1"/>
  <c r="S200" i="1"/>
  <c r="S174" i="1"/>
  <c r="S289" i="1"/>
  <c r="S259" i="1"/>
  <c r="S274" i="1"/>
  <c r="S264" i="1"/>
  <c r="S209" i="1"/>
  <c r="S191" i="1"/>
  <c r="S249" i="1"/>
  <c r="S185" i="1"/>
  <c r="S182" i="1"/>
  <c r="S318" i="1"/>
  <c r="S216" i="1"/>
  <c r="S301" i="1"/>
  <c r="S317" i="1"/>
  <c r="S198" i="1"/>
  <c r="S65" i="1"/>
  <c r="S69" i="1"/>
  <c r="S44" i="1"/>
  <c r="S311" i="1"/>
  <c r="S294" i="1"/>
  <c r="S325" i="1"/>
  <c r="S177" i="1"/>
  <c r="S288" i="1"/>
  <c r="S248" i="1"/>
  <c r="S251" i="1"/>
  <c r="S197" i="1"/>
  <c r="S163" i="1"/>
  <c r="S169" i="1"/>
  <c r="S162" i="1"/>
  <c r="S166" i="1"/>
  <c r="S167" i="1"/>
  <c r="S204" i="1"/>
  <c r="S60" i="1"/>
  <c r="S72" i="1"/>
  <c r="S53" i="1"/>
  <c r="S296" i="1"/>
  <c r="S54" i="1"/>
  <c r="S84" i="1"/>
  <c r="S80" i="1"/>
  <c r="S71" i="1"/>
  <c r="S70" i="1"/>
  <c r="S45" i="1"/>
  <c r="S47" i="1"/>
  <c r="S51" i="1" l="1"/>
</calcChain>
</file>

<file path=xl/sharedStrings.xml><?xml version="1.0" encoding="utf-8"?>
<sst xmlns="http://schemas.openxmlformats.org/spreadsheetml/2006/main" count="569" uniqueCount="75">
  <si>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</si>
  <si>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</si>
  <si>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</si>
  <si>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</si>
  <si>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</si>
  <si>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</si>
  <si>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</si>
  <si>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</si>
  <si>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</si>
  <si>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</si>
  <si>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</si>
  <si>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</si>
  <si>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</si>
  <si>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ALIMENT COMPLET</t>
  </si>
  <si>
    <t>INGREDIENTS</t>
  </si>
  <si>
    <t>COMPLEMENT ALIMENTAIRE</t>
  </si>
  <si>
    <t>MATERIEL ELEVAGE</t>
  </si>
  <si>
    <t>PREMIX</t>
  </si>
  <si>
    <t>CONCENTRES</t>
  </si>
  <si>
    <t>TOURTEAUX</t>
  </si>
  <si>
    <t>ALVEOLE</t>
  </si>
  <si>
    <t>DIVERS</t>
  </si>
  <si>
    <t>Innovations</t>
  </si>
  <si>
    <t>Total Village</t>
  </si>
  <si>
    <t>Village</t>
  </si>
  <si>
    <t>Total PK11</t>
  </si>
  <si>
    <t>PK11</t>
  </si>
  <si>
    <t>Total Ndobo</t>
  </si>
  <si>
    <t>Ndobo</t>
  </si>
  <si>
    <t>Total Buea</t>
  </si>
  <si>
    <t>Buea</t>
  </si>
  <si>
    <t>Total Nkongsamba</t>
  </si>
  <si>
    <t>Nkongsamba</t>
  </si>
  <si>
    <t>Total Ahala</t>
  </si>
  <si>
    <t>Ahala</t>
  </si>
  <si>
    <t>Total Messassi</t>
  </si>
  <si>
    <t>Messassi</t>
  </si>
  <si>
    <t>Total Nkoabang</t>
  </si>
  <si>
    <t>Nkoabang</t>
  </si>
  <si>
    <t>Total Nkolbisson</t>
  </si>
  <si>
    <t>Nkolbisson</t>
  </si>
  <si>
    <t>Total Ngaoundere</t>
  </si>
  <si>
    <t>Ngaoundere</t>
  </si>
  <si>
    <t>Total Bertoua</t>
  </si>
  <si>
    <t>Bertoua</t>
  </si>
  <si>
    <t>Total Mbouda</t>
  </si>
  <si>
    <t>Mbouda</t>
  </si>
  <si>
    <t>Total Famla</t>
  </si>
  <si>
    <t>Famla</t>
  </si>
  <si>
    <t>Total Djeleng</t>
  </si>
  <si>
    <t>Djeleng</t>
  </si>
  <si>
    <t>Total SPC Chef.</t>
  </si>
  <si>
    <t>SPC Chef.</t>
  </si>
  <si>
    <t>Total PDC Emana</t>
  </si>
  <si>
    <t>PDC Emana</t>
  </si>
  <si>
    <t>Total SPC-DLA-BERI</t>
  </si>
  <si>
    <t>SPC-DLA-BERI</t>
  </si>
  <si>
    <t>Total SPC-YASSA</t>
  </si>
  <si>
    <t>SPC-YASSA</t>
  </si>
  <si>
    <t>Total SPC PK15</t>
  </si>
  <si>
    <t>SPC PK15</t>
  </si>
  <si>
    <t>Total SPC VILLAGE</t>
  </si>
  <si>
    <t>SPC VILLAGE</t>
  </si>
  <si>
    <t>Total SPC BUEA</t>
  </si>
  <si>
    <t>SPC BUEA</t>
  </si>
  <si>
    <t>Total SPC DSCHANG</t>
  </si>
  <si>
    <t>SPC DSCHANG</t>
  </si>
  <si>
    <t>Total SPC TPO</t>
  </si>
  <si>
    <t>SPC TPO</t>
  </si>
  <si>
    <t>Total SPC MBOUDA</t>
  </si>
  <si>
    <t>SPC MBOUDA</t>
  </si>
  <si>
    <t>Total PDC BERTOUA</t>
  </si>
  <si>
    <t>PDC BERTOUA</t>
  </si>
  <si>
    <t>Total SPC NDERE</t>
  </si>
  <si>
    <t>SPC 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</si>
</sst>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%"/>
    <numFmt numFmtId="165" formatCode="_-* #,##0.00\ _€_-;\-* #,##0.00\ _€_-;_-* &quot;-&quot;??\ _€_-;_-@_-"/>
    <numFmt numFmtId="166" formatCode="_-* #,##0.00_-;\-* #,##0.0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41" fontId="0" fillId="0" borderId="0" xfId="0" applyNumberFormat="1"/>
    <xf numFmtId="0" fontId="3" fillId="0" borderId="0" xfId="0" applyFont="1"/>
    <xf numFmtId="0" fontId="2" fillId="2" borderId="0" xfId="0" applyFont="1" applyFill="1"/>
    <xf numFmtId="165" fontId="2" fillId="2" borderId="0" xfId="0" applyNumberFormat="1" applyFont="1" applyFill="1"/>
    <xf numFmtId="166" fontId="0" fillId="0" borderId="0" xfId="0" applyNumberFormat="1"/>
    <xf numFmtId="166" fontId="0" fillId="0" borderId="1" xfId="0" applyNumberFormat="1" applyBorder="1"/>
    <xf numFmtId="10" fontId="2" fillId="2" borderId="0" xfId="0" applyNumberFormat="1" applyFont="1" applyFill="1"/>
    <xf numFmtId="10" fontId="3" fillId="0" borderId="0" xfId="0" applyNumberFormat="1" applyFont="1"/>
    <xf numFmtId="164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AAC0-4592-49A2-B6A8-15E2FA86B8A1}">
  <sheetPr>
    <tabColor rgb="FF00B050"/>
  </sheetPr>
  <dimension ref="A1:S327"/>
  <sheetViews>
    <sheetView showGridLines="0" tabSelected="1" workbookViewId="0">
      <pane xSplit="2" ySplit="14" topLeftCell="C66" activePane="bottomRight" state="frozen"/>
      <selection pane="topRight" activeCell="C1" sqref="C1"/>
      <selection pane="bottomLeft" activeCell="A15" sqref="A15"/>
      <selection pane="bottomRight" activeCell="J7" sqref="J7"/>
    </sheetView>
  </sheetViews>
  <sheetFormatPr baseColWidth="10" defaultColWidth="11.42578125" defaultRowHeight="15" x14ac:dyDescent="0.25"/>
  <cols>
    <col min="1" max="1" width="18.5703125" bestFit="1" customWidth="1"/>
    <col min="2" max="2" width="26" bestFit="1" customWidth="1"/>
    <col min="3" max="3" width="6.140625" hidden="1" customWidth="1"/>
    <col min="4" max="4" width="10.5703125" hidden="1" customWidth="1"/>
    <col min="5" max="5" width="10.85546875" bestFit="1" customWidth="1"/>
    <col min="6" max="16" width="11.42578125" customWidth="1"/>
    <col min="17" max="17" width="1.140625" customWidth="1"/>
    <col min="18" max="18" width="11.85546875" bestFit="1" customWidth="1"/>
    <col min="19" max="19" width="0" hidden="1" customWidth="1"/>
  </cols>
  <sheetData>
    <row r="1" spans="1:19" x14ac:dyDescent="0.25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x14ac:dyDescent="0.25">
      <c r="D2">
        <f>SUMIFS(J:J,$B:$B,B10,A:A,"&lt;&gt;")</f>
        <v>2051.6129432451621</v>
      </c>
    </row>
    <row r="3" spans="1:19" x14ac:dyDescent="0.25">
      <c r="D3" s="2">
        <f>+E10+E46-D2</f>
        <v>470.35705675483814</v>
      </c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</row>
    <row r="4" spans="1:19" x14ac:dyDescent="0.25">
      <c r="B4" s="4" t="s">
        <v>12</v>
      </c>
      <c r="E4" s="5">
        <v>7540</v>
      </c>
      <c r="F4" s="5">
        <v>6699</v>
      </c>
      <c r="G4" s="5">
        <v>7496</v>
      </c>
      <c r="H4" s="5">
        <v>6069</v>
      </c>
      <c r="I4" s="5">
        <v>6662</v>
      </c>
      <c r="J4" s="5">
        <v>6763</v>
      </c>
      <c r="K4" s="5">
        <v>5924</v>
      </c>
      <c r="L4" s="5">
        <v>5301</v>
      </c>
      <c r="M4" s="5">
        <v>5531</v>
      </c>
      <c r="N4" s="5">
        <v>7228</v>
      </c>
      <c r="O4" s="5">
        <v>7335</v>
      </c>
      <c r="P4" s="5">
        <v>8920</v>
      </c>
      <c r="R4" s="5">
        <f t="shared" ref="R4:R14" si="0">SUM(E4:P4)</f>
        <v>81468</v>
      </c>
    </row>
    <row r="5" spans="1:19" x14ac:dyDescent="0.25">
      <c r="B5" t="s">
        <v>13</v>
      </c>
      <c r="C5" s="1">
        <v>1.2471967553264386E-2</v>
      </c>
      <c r="E5" s="6">
        <v>94</v>
      </c>
      <c r="F5" s="6">
        <v>84</v>
      </c>
      <c r="G5" s="6">
        <v>93</v>
      </c>
      <c r="H5" s="6">
        <v>76</v>
      </c>
      <c r="I5" s="6">
        <v>83</v>
      </c>
      <c r="J5" s="6">
        <v>84</v>
      </c>
      <c r="K5" s="6">
        <v>74</v>
      </c>
      <c r="L5" s="6">
        <v>66</v>
      </c>
      <c r="M5" s="6">
        <v>69</v>
      </c>
      <c r="N5" s="6">
        <v>90</v>
      </c>
      <c r="O5" s="6">
        <v>91</v>
      </c>
      <c r="P5" s="6">
        <v>111</v>
      </c>
      <c r="Q5" s="6"/>
      <c r="R5" s="6">
        <f t="shared" si="0"/>
        <v>1015</v>
      </c>
      <c r="S5" s="1">
        <f>+R5/$R$4</f>
        <v>1.2458879560072666E-2</v>
      </c>
    </row>
    <row r="6" spans="1:19" x14ac:dyDescent="0.25">
      <c r="B6" t="s">
        <v>14</v>
      </c>
      <c r="C6" s="1">
        <v>1.4521899176355374E-2</v>
      </c>
      <c r="E6" s="6">
        <v>109</v>
      </c>
      <c r="F6" s="6">
        <v>97</v>
      </c>
      <c r="G6" s="6">
        <v>109</v>
      </c>
      <c r="H6" s="6">
        <v>88</v>
      </c>
      <c r="I6" s="6">
        <v>97</v>
      </c>
      <c r="J6" s="6">
        <v>98</v>
      </c>
      <c r="K6" s="6">
        <v>86</v>
      </c>
      <c r="L6" s="6">
        <v>77</v>
      </c>
      <c r="M6" s="6">
        <v>80</v>
      </c>
      <c r="N6" s="6">
        <v>105</v>
      </c>
      <c r="O6" s="6">
        <v>107</v>
      </c>
      <c r="P6" s="6">
        <v>130</v>
      </c>
      <c r="Q6" s="6"/>
      <c r="R6" s="6">
        <f t="shared" si="0"/>
        <v>1183</v>
      </c>
      <c r="S6" s="1">
        <f t="shared" ref="S6:S14" si="1">+R6/$R$4</f>
        <v>1.4521038935532971E-2</v>
      </c>
    </row>
    <row r="7" spans="1:19" x14ac:dyDescent="0.25">
      <c r="B7" t="s">
        <v>15</v>
      </c>
      <c r="C7" s="1">
        <v>1.2646654798609909E-4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/>
      <c r="R7" s="6">
        <f t="shared" si="0"/>
        <v>12</v>
      </c>
      <c r="S7" s="1">
        <f t="shared" si="1"/>
        <v>1.4729709824716454E-4</v>
      </c>
    </row>
    <row r="8" spans="1:19" x14ac:dyDescent="0.25">
      <c r="B8" t="s">
        <v>16</v>
      </c>
      <c r="C8" s="1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/>
      <c r="R8" s="6">
        <f t="shared" si="0"/>
        <v>0</v>
      </c>
      <c r="S8" s="1">
        <f t="shared" si="1"/>
        <v>0</v>
      </c>
    </row>
    <row r="9" spans="1:19" x14ac:dyDescent="0.25">
      <c r="B9" t="s">
        <v>17</v>
      </c>
      <c r="C9" s="1">
        <v>1.4407514706535549E-3</v>
      </c>
      <c r="E9" s="6">
        <v>11</v>
      </c>
      <c r="F9" s="6">
        <v>10</v>
      </c>
      <c r="G9" s="6">
        <v>11</v>
      </c>
      <c r="H9" s="6">
        <v>9</v>
      </c>
      <c r="I9" s="6">
        <v>10</v>
      </c>
      <c r="J9" s="6">
        <v>10</v>
      </c>
      <c r="K9" s="6">
        <v>9</v>
      </c>
      <c r="L9" s="6">
        <v>8</v>
      </c>
      <c r="M9" s="6">
        <v>8</v>
      </c>
      <c r="N9" s="6">
        <v>10</v>
      </c>
      <c r="O9" s="6">
        <v>11</v>
      </c>
      <c r="P9" s="6">
        <v>13</v>
      </c>
      <c r="Q9" s="6"/>
      <c r="R9" s="6">
        <f t="shared" si="0"/>
        <v>120</v>
      </c>
      <c r="S9" s="1">
        <f t="shared" si="1"/>
        <v>1.4729709824716454E-3</v>
      </c>
    </row>
    <row r="10" spans="1:19" x14ac:dyDescent="0.25">
      <c r="B10" t="s">
        <v>18</v>
      </c>
      <c r="C10" s="1">
        <v>0.30421503573891495</v>
      </c>
      <c r="E10" s="6">
        <v>2294</v>
      </c>
      <c r="F10" s="6">
        <v>2038</v>
      </c>
      <c r="G10" s="6">
        <v>2280</v>
      </c>
      <c r="H10" s="6">
        <v>1846</v>
      </c>
      <c r="I10" s="6">
        <v>2027</v>
      </c>
      <c r="J10" s="6">
        <v>2057</v>
      </c>
      <c r="K10" s="6">
        <v>1802</v>
      </c>
      <c r="L10" s="6">
        <v>1613</v>
      </c>
      <c r="M10" s="6">
        <v>1683</v>
      </c>
      <c r="N10" s="6">
        <v>2199</v>
      </c>
      <c r="O10" s="6">
        <v>2231</v>
      </c>
      <c r="P10" s="6">
        <v>2714</v>
      </c>
      <c r="Q10" s="6"/>
      <c r="R10" s="6">
        <f t="shared" si="0"/>
        <v>24784</v>
      </c>
      <c r="S10" s="1">
        <f t="shared" si="1"/>
        <v>0.30421760691314381</v>
      </c>
    </row>
    <row r="11" spans="1:19" x14ac:dyDescent="0.25">
      <c r="B11" t="s">
        <v>19</v>
      </c>
      <c r="C11" s="1">
        <v>0.64722387951282567</v>
      </c>
      <c r="E11" s="6">
        <v>4880</v>
      </c>
      <c r="F11" s="6">
        <v>4336</v>
      </c>
      <c r="G11" s="6">
        <v>4852</v>
      </c>
      <c r="H11" s="6">
        <v>3928</v>
      </c>
      <c r="I11" s="6">
        <v>4312</v>
      </c>
      <c r="J11" s="6">
        <v>4377</v>
      </c>
      <c r="K11" s="6">
        <v>3834</v>
      </c>
      <c r="L11" s="6">
        <v>3431</v>
      </c>
      <c r="M11" s="6">
        <v>3580</v>
      </c>
      <c r="N11" s="6">
        <v>4678</v>
      </c>
      <c r="O11" s="6">
        <v>4747</v>
      </c>
      <c r="P11" s="6">
        <v>5773</v>
      </c>
      <c r="Q11" s="6"/>
      <c r="R11" s="6">
        <f t="shared" si="0"/>
        <v>52728</v>
      </c>
      <c r="S11" s="1">
        <f t="shared" si="1"/>
        <v>0.64722344969804091</v>
      </c>
    </row>
    <row r="12" spans="1:19" x14ac:dyDescent="0.25">
      <c r="B12" t="s">
        <v>20</v>
      </c>
      <c r="C12" s="1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/>
      <c r="R12" s="6">
        <f t="shared" si="0"/>
        <v>0</v>
      </c>
      <c r="S12" s="1">
        <f t="shared" si="1"/>
        <v>0</v>
      </c>
    </row>
    <row r="13" spans="1:19" x14ac:dyDescent="0.25">
      <c r="B13" t="s">
        <v>21</v>
      </c>
      <c r="C13" s="1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/>
      <c r="R13" s="6">
        <f t="shared" si="0"/>
        <v>0</v>
      </c>
      <c r="S13" s="1">
        <f t="shared" si="1"/>
        <v>0</v>
      </c>
    </row>
    <row r="14" spans="1:19" x14ac:dyDescent="0.25">
      <c r="B14" t="s">
        <v>22</v>
      </c>
      <c r="C14" s="1">
        <v>0.02</v>
      </c>
      <c r="E14" s="7">
        <v>151</v>
      </c>
      <c r="F14" s="7">
        <v>134</v>
      </c>
      <c r="G14" s="7">
        <v>150</v>
      </c>
      <c r="H14" s="7">
        <v>121</v>
      </c>
      <c r="I14" s="7">
        <v>133</v>
      </c>
      <c r="J14" s="7">
        <v>135</v>
      </c>
      <c r="K14" s="7">
        <v>118</v>
      </c>
      <c r="L14" s="7">
        <v>106</v>
      </c>
      <c r="M14" s="7">
        <v>111</v>
      </c>
      <c r="N14" s="7">
        <v>145</v>
      </c>
      <c r="O14" s="7">
        <v>147</v>
      </c>
      <c r="P14" s="7">
        <v>175</v>
      </c>
      <c r="Q14" s="7"/>
      <c r="R14" s="7">
        <f t="shared" si="0"/>
        <v>1626</v>
      </c>
      <c r="S14" s="1">
        <f t="shared" si="1"/>
        <v>1.9958756812490795E-2</v>
      </c>
    </row>
    <row r="15" spans="1:19" x14ac:dyDescent="0.25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9" x14ac:dyDescent="0.25">
      <c r="A16" s="4" t="s">
        <v>23</v>
      </c>
      <c r="B16" s="8">
        <f>+E16/E$4</f>
        <v>4.2636604774535812E-2</v>
      </c>
      <c r="C16" s="9"/>
      <c r="E16" s="5">
        <f t="shared" ref="E16:P16" si="2">+SUM(E17:E26)</f>
        <v>321.48</v>
      </c>
      <c r="F16" s="5">
        <f t="shared" si="2"/>
        <v>285.71999999999997</v>
      </c>
      <c r="G16" s="5">
        <f t="shared" si="2"/>
        <v>319.58000000000004</v>
      </c>
      <c r="H16" s="5">
        <f t="shared" si="2"/>
        <v>258.80999999999995</v>
      </c>
      <c r="I16" s="5">
        <f t="shared" si="2"/>
        <v>284.05</v>
      </c>
      <c r="J16" s="5">
        <f t="shared" si="2"/>
        <v>288.28999999999996</v>
      </c>
      <c r="K16" s="5">
        <f t="shared" si="2"/>
        <v>252.59</v>
      </c>
      <c r="L16" s="5">
        <f t="shared" si="2"/>
        <v>226.04999999999998</v>
      </c>
      <c r="M16" s="5">
        <f t="shared" si="2"/>
        <v>235.88</v>
      </c>
      <c r="N16" s="5">
        <f t="shared" si="2"/>
        <v>308.18</v>
      </c>
      <c r="O16" s="5">
        <f t="shared" si="2"/>
        <v>312.71999999999997</v>
      </c>
      <c r="P16" s="5">
        <f t="shared" si="2"/>
        <v>380.05</v>
      </c>
      <c r="R16" s="5">
        <f t="shared" ref="R16:R26" si="3">SUM(E16:P16)</f>
        <v>3473.4</v>
      </c>
    </row>
    <row r="17" spans="1:19" x14ac:dyDescent="0.25">
      <c r="A17" t="s">
        <v>24</v>
      </c>
      <c r="B17" t="s">
        <v>13</v>
      </c>
      <c r="D17" s="10">
        <v>0.14045286425952183</v>
      </c>
      <c r="E17" s="6">
        <v>13.209999999999999</v>
      </c>
      <c r="F17" s="6">
        <v>11.799999999999999</v>
      </c>
      <c r="G17" s="6">
        <v>13.07</v>
      </c>
      <c r="H17" s="6">
        <v>10.68</v>
      </c>
      <c r="I17" s="6">
        <v>11.66</v>
      </c>
      <c r="J17" s="6">
        <v>11.799999999999999</v>
      </c>
      <c r="K17" s="6">
        <v>10.4</v>
      </c>
      <c r="L17" s="6">
        <v>9.27</v>
      </c>
      <c r="M17" s="6">
        <v>9.6999999999999993</v>
      </c>
      <c r="N17" s="6">
        <v>12.65</v>
      </c>
      <c r="O17" s="6">
        <v>12.79</v>
      </c>
      <c r="P17" s="6">
        <v>15.6</v>
      </c>
      <c r="Q17" s="6"/>
      <c r="R17" s="6">
        <f t="shared" si="3"/>
        <v>142.63</v>
      </c>
      <c r="S17" s="1">
        <f>+R17/$R$16</f>
        <v>4.1063511256981627E-2</v>
      </c>
    </row>
    <row r="18" spans="1:19" x14ac:dyDescent="0.25">
      <c r="A18" t="s">
        <v>24</v>
      </c>
      <c r="B18" t="s">
        <v>14</v>
      </c>
      <c r="D18" s="10">
        <v>3.8331977478780414E-2</v>
      </c>
      <c r="E18" s="6">
        <v>4.18</v>
      </c>
      <c r="F18" s="6">
        <v>3.7199999999999998</v>
      </c>
      <c r="G18" s="6">
        <v>4.18</v>
      </c>
      <c r="H18" s="6">
        <v>3.38</v>
      </c>
      <c r="I18" s="6">
        <v>3.7199999999999998</v>
      </c>
      <c r="J18" s="6">
        <v>3.76</v>
      </c>
      <c r="K18" s="6">
        <v>3.3</v>
      </c>
      <c r="L18" s="6">
        <v>2.96</v>
      </c>
      <c r="M18" s="6">
        <v>3.07</v>
      </c>
      <c r="N18" s="6">
        <v>4.0299999999999994</v>
      </c>
      <c r="O18" s="6">
        <v>4.1099999999999994</v>
      </c>
      <c r="P18" s="6">
        <v>4.99</v>
      </c>
      <c r="Q18" s="6"/>
      <c r="R18" s="6">
        <f t="shared" si="3"/>
        <v>45.4</v>
      </c>
      <c r="S18" s="1">
        <f t="shared" ref="S18:S26" si="4">+R18/$R$16</f>
        <v>1.3070766396038463E-2</v>
      </c>
    </row>
    <row r="19" spans="1:19" x14ac:dyDescent="0.25">
      <c r="A19" t="s">
        <v>24</v>
      </c>
      <c r="B19" t="s">
        <v>15</v>
      </c>
      <c r="D19" s="10">
        <v>5.3104077906269011E-2</v>
      </c>
      <c r="E19" s="6">
        <v>6.0000000000000005E-2</v>
      </c>
      <c r="F19" s="6">
        <v>6.0000000000000005E-2</v>
      </c>
      <c r="G19" s="6">
        <v>6.0000000000000005E-2</v>
      </c>
      <c r="H19" s="6">
        <v>6.0000000000000005E-2</v>
      </c>
      <c r="I19" s="6">
        <v>6.0000000000000005E-2</v>
      </c>
      <c r="J19" s="6">
        <v>6.0000000000000005E-2</v>
      </c>
      <c r="K19" s="6">
        <v>6.0000000000000005E-2</v>
      </c>
      <c r="L19" s="6">
        <v>6.0000000000000005E-2</v>
      </c>
      <c r="M19" s="6">
        <v>6.0000000000000005E-2</v>
      </c>
      <c r="N19" s="6">
        <v>6.0000000000000005E-2</v>
      </c>
      <c r="O19" s="6">
        <v>6.0000000000000005E-2</v>
      </c>
      <c r="P19" s="6">
        <v>6.0000000000000005E-2</v>
      </c>
      <c r="Q19" s="6"/>
      <c r="R19" s="6">
        <f t="shared" si="3"/>
        <v>0.7200000000000002</v>
      </c>
      <c r="S19" s="1">
        <f t="shared" si="4"/>
        <v>2.0728968733805498E-4</v>
      </c>
    </row>
    <row r="20" spans="1:19" x14ac:dyDescent="0.25">
      <c r="A20" t="s">
        <v>24</v>
      </c>
      <c r="B20" t="s">
        <v>16</v>
      </c>
      <c r="D20" s="10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/>
      <c r="R20" s="6">
        <f t="shared" si="3"/>
        <v>0</v>
      </c>
      <c r="S20" s="1">
        <f t="shared" si="4"/>
        <v>0</v>
      </c>
    </row>
    <row r="21" spans="1:19" x14ac:dyDescent="0.25">
      <c r="A21" t="s">
        <v>24</v>
      </c>
      <c r="B21" t="s">
        <v>17</v>
      </c>
      <c r="D21" s="10">
        <v>4.0012804097311137E-2</v>
      </c>
      <c r="E21" s="6">
        <v>0.45</v>
      </c>
      <c r="F21" s="6">
        <v>0.41000000000000003</v>
      </c>
      <c r="G21" s="6">
        <v>0.45</v>
      </c>
      <c r="H21" s="6">
        <v>0.37</v>
      </c>
      <c r="I21" s="6">
        <v>0.41000000000000003</v>
      </c>
      <c r="J21" s="6">
        <v>0.41000000000000003</v>
      </c>
      <c r="K21" s="6">
        <v>0.37</v>
      </c>
      <c r="L21" s="6">
        <v>0.33</v>
      </c>
      <c r="M21" s="6">
        <v>0.33</v>
      </c>
      <c r="N21" s="6">
        <v>0.41000000000000003</v>
      </c>
      <c r="O21" s="6">
        <v>0.45</v>
      </c>
      <c r="P21" s="6">
        <v>0.53</v>
      </c>
      <c r="Q21" s="6"/>
      <c r="R21" s="6">
        <f t="shared" si="3"/>
        <v>4.9200000000000008</v>
      </c>
      <c r="S21" s="1">
        <f t="shared" si="4"/>
        <v>1.4164795301433756E-3</v>
      </c>
    </row>
    <row r="22" spans="1:19" x14ac:dyDescent="0.25">
      <c r="A22" t="s">
        <v>24</v>
      </c>
      <c r="B22" t="s">
        <v>18</v>
      </c>
      <c r="D22" s="10">
        <v>7.0544805054482726E-2</v>
      </c>
      <c r="E22" s="6">
        <v>87.9</v>
      </c>
      <c r="F22" s="6">
        <v>78.100000000000009</v>
      </c>
      <c r="G22" s="6">
        <v>87.39</v>
      </c>
      <c r="H22" s="6">
        <v>70.75</v>
      </c>
      <c r="I22" s="6">
        <v>77.660000000000011</v>
      </c>
      <c r="J22" s="6">
        <v>78.84</v>
      </c>
      <c r="K22" s="6">
        <v>69.06</v>
      </c>
      <c r="L22" s="6">
        <v>61.8</v>
      </c>
      <c r="M22" s="6">
        <v>64.48</v>
      </c>
      <c r="N22" s="6">
        <v>84.26</v>
      </c>
      <c r="O22" s="6">
        <v>85.51</v>
      </c>
      <c r="P22" s="6">
        <v>103.99000000000001</v>
      </c>
      <c r="Q22" s="6"/>
      <c r="R22" s="6">
        <f t="shared" si="3"/>
        <v>949.74</v>
      </c>
      <c r="S22" s="1">
        <f t="shared" si="4"/>
        <v>0.27343237173950596</v>
      </c>
    </row>
    <row r="23" spans="1:19" x14ac:dyDescent="0.25">
      <c r="A23" t="s">
        <v>24</v>
      </c>
      <c r="B23" t="s">
        <v>19</v>
      </c>
      <c r="D23" s="10">
        <v>4.1983917568830208E-2</v>
      </c>
      <c r="E23" s="6">
        <v>204.89</v>
      </c>
      <c r="F23" s="6">
        <v>182.04999999999998</v>
      </c>
      <c r="G23" s="6">
        <v>203.70999999999998</v>
      </c>
      <c r="H23" s="6">
        <v>164.92</v>
      </c>
      <c r="I23" s="6">
        <v>181.04</v>
      </c>
      <c r="J23" s="6">
        <v>183.76999999999998</v>
      </c>
      <c r="K23" s="6">
        <v>160.97</v>
      </c>
      <c r="L23" s="6">
        <v>144.04999999999998</v>
      </c>
      <c r="M23" s="6">
        <v>150.31</v>
      </c>
      <c r="N23" s="6">
        <v>196.41</v>
      </c>
      <c r="O23" s="6">
        <v>199.29999999999998</v>
      </c>
      <c r="P23" s="6">
        <v>242.38</v>
      </c>
      <c r="Q23" s="6"/>
      <c r="R23" s="6">
        <f t="shared" si="3"/>
        <v>2213.7999999999997</v>
      </c>
      <c r="S23" s="1">
        <f t="shared" si="4"/>
        <v>0.63735820809581378</v>
      </c>
    </row>
    <row r="24" spans="1:19" x14ac:dyDescent="0.25">
      <c r="A24" t="s">
        <v>24</v>
      </c>
      <c r="B24" t="s">
        <v>20</v>
      </c>
      <c r="D24" s="10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/>
      <c r="R24" s="6">
        <f t="shared" si="3"/>
        <v>0</v>
      </c>
      <c r="S24" s="1">
        <f t="shared" si="4"/>
        <v>0</v>
      </c>
    </row>
    <row r="25" spans="1:19" x14ac:dyDescent="0.25">
      <c r="A25" t="s">
        <v>24</v>
      </c>
      <c r="B25" t="s">
        <v>21</v>
      </c>
      <c r="D25" s="10">
        <v>5.5296304043121518E-5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/>
      <c r="R25" s="6">
        <f t="shared" si="3"/>
        <v>0</v>
      </c>
      <c r="S25" s="1">
        <f t="shared" si="4"/>
        <v>0</v>
      </c>
    </row>
    <row r="26" spans="1:19" x14ac:dyDescent="0.25">
      <c r="A26" t="s">
        <v>24</v>
      </c>
      <c r="B26" t="s">
        <v>22</v>
      </c>
      <c r="D26" s="10">
        <f>+C14/14</f>
        <v>1.4285714285714286E-3</v>
      </c>
      <c r="E26" s="7">
        <v>10.79</v>
      </c>
      <c r="F26" s="7">
        <v>9.58</v>
      </c>
      <c r="G26" s="7">
        <v>10.72</v>
      </c>
      <c r="H26" s="7">
        <v>8.65</v>
      </c>
      <c r="I26" s="7">
        <v>9.5</v>
      </c>
      <c r="J26" s="7">
        <v>9.65</v>
      </c>
      <c r="K26" s="7">
        <v>8.43</v>
      </c>
      <c r="L26" s="7">
        <v>7.58</v>
      </c>
      <c r="M26" s="7">
        <v>7.93</v>
      </c>
      <c r="N26" s="7">
        <v>10.36</v>
      </c>
      <c r="O26" s="7">
        <v>10.5</v>
      </c>
      <c r="P26" s="7">
        <v>12.5</v>
      </c>
      <c r="Q26" s="7"/>
      <c r="R26" s="7">
        <f t="shared" si="3"/>
        <v>116.18999999999998</v>
      </c>
      <c r="S26" s="1">
        <f t="shared" si="4"/>
        <v>3.3451373294178612E-2</v>
      </c>
    </row>
    <row r="27" spans="1:19" x14ac:dyDescent="0.25"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9" x14ac:dyDescent="0.25">
      <c r="A28" s="4" t="s">
        <v>25</v>
      </c>
      <c r="B28" s="8">
        <f>+E28/E$4</f>
        <v>3.2762599469496022E-2</v>
      </c>
      <c r="C28" s="9"/>
      <c r="E28" s="5">
        <f t="shared" ref="E28:P28" si="5">+SUM(E29:E38)</f>
        <v>247.03</v>
      </c>
      <c r="F28" s="5">
        <f t="shared" si="5"/>
        <v>218.57999999999998</v>
      </c>
      <c r="G28" s="5">
        <f t="shared" si="5"/>
        <v>245.07999999999998</v>
      </c>
      <c r="H28" s="5">
        <f t="shared" si="5"/>
        <v>197.98</v>
      </c>
      <c r="I28" s="5">
        <f t="shared" si="5"/>
        <v>217.57999999999998</v>
      </c>
      <c r="J28" s="5">
        <f t="shared" si="5"/>
        <v>221.53</v>
      </c>
      <c r="K28" s="5">
        <f t="shared" si="5"/>
        <v>194.07</v>
      </c>
      <c r="L28" s="5">
        <f t="shared" si="5"/>
        <v>173.49</v>
      </c>
      <c r="M28" s="5">
        <f t="shared" si="5"/>
        <v>180.37</v>
      </c>
      <c r="N28" s="5">
        <f t="shared" si="5"/>
        <v>236.26</v>
      </c>
      <c r="O28" s="5">
        <f t="shared" si="5"/>
        <v>240.19</v>
      </c>
      <c r="P28" s="5">
        <f t="shared" si="5"/>
        <v>291.86</v>
      </c>
      <c r="R28" s="5">
        <f t="shared" ref="R28:R38" si="6">SUM(E28:P28)</f>
        <v>2664.0200000000004</v>
      </c>
    </row>
    <row r="29" spans="1:19" x14ac:dyDescent="0.25">
      <c r="A29" t="s">
        <v>26</v>
      </c>
      <c r="B29" t="s">
        <v>13</v>
      </c>
      <c r="D29" s="10">
        <v>5.3966720258507989E-2</v>
      </c>
      <c r="E29" s="6">
        <v>5.08</v>
      </c>
      <c r="F29" s="6">
        <v>4.54</v>
      </c>
      <c r="G29" s="6">
        <v>5.0199999999999996</v>
      </c>
      <c r="H29" s="6">
        <v>4.1099999999999994</v>
      </c>
      <c r="I29" s="6">
        <v>4.4799999999999995</v>
      </c>
      <c r="J29" s="6">
        <v>4.54</v>
      </c>
      <c r="K29" s="6">
        <v>4</v>
      </c>
      <c r="L29" s="6">
        <v>3.57</v>
      </c>
      <c r="M29" s="6">
        <v>3.73</v>
      </c>
      <c r="N29" s="6">
        <v>4.8599999999999994</v>
      </c>
      <c r="O29" s="6">
        <v>4.92</v>
      </c>
      <c r="P29" s="6">
        <v>6</v>
      </c>
      <c r="Q29" s="6"/>
      <c r="R29" s="6">
        <f t="shared" si="6"/>
        <v>54.849999999999994</v>
      </c>
      <c r="S29" s="1">
        <f>+R29/$R$28</f>
        <v>2.058918476588013E-2</v>
      </c>
    </row>
    <row r="30" spans="1:19" x14ac:dyDescent="0.25">
      <c r="A30" t="s">
        <v>26</v>
      </c>
      <c r="B30" t="s">
        <v>14</v>
      </c>
      <c r="D30" s="10">
        <v>2.9341009416738013E-2</v>
      </c>
      <c r="E30" s="6">
        <v>3.1999999999999997</v>
      </c>
      <c r="F30" s="6">
        <v>2.8499999999999996</v>
      </c>
      <c r="G30" s="6">
        <v>3.1999999999999997</v>
      </c>
      <c r="H30" s="6">
        <v>2.59</v>
      </c>
      <c r="I30" s="6">
        <v>2.8499999999999996</v>
      </c>
      <c r="J30" s="6">
        <v>2.88</v>
      </c>
      <c r="K30" s="6">
        <v>2.5299999999999998</v>
      </c>
      <c r="L30" s="6">
        <v>2.2599999999999998</v>
      </c>
      <c r="M30" s="6">
        <v>2.3499999999999996</v>
      </c>
      <c r="N30" s="6">
        <v>3.09</v>
      </c>
      <c r="O30" s="6">
        <v>3.1399999999999997</v>
      </c>
      <c r="P30" s="6">
        <v>3.82</v>
      </c>
      <c r="Q30" s="6"/>
      <c r="R30" s="6">
        <f t="shared" si="6"/>
        <v>34.76</v>
      </c>
      <c r="S30" s="1">
        <f t="shared" ref="S30:S38" si="7">+R30/$R$28</f>
        <v>1.3047950090464784E-2</v>
      </c>
    </row>
    <row r="31" spans="1:19" x14ac:dyDescent="0.25">
      <c r="A31" t="s">
        <v>26</v>
      </c>
      <c r="B31" t="s">
        <v>15</v>
      </c>
      <c r="D31" s="10">
        <v>3.8344491783323185E-2</v>
      </c>
      <c r="E31" s="6">
        <v>0.04</v>
      </c>
      <c r="F31" s="6">
        <v>0.04</v>
      </c>
      <c r="G31" s="6">
        <v>0.04</v>
      </c>
      <c r="H31" s="6">
        <v>0.04</v>
      </c>
      <c r="I31" s="6">
        <v>0.04</v>
      </c>
      <c r="J31" s="6">
        <v>0.04</v>
      </c>
      <c r="K31" s="6">
        <v>0.04</v>
      </c>
      <c r="L31" s="6">
        <v>0.04</v>
      </c>
      <c r="M31" s="6">
        <v>0.04</v>
      </c>
      <c r="N31" s="6">
        <v>0.04</v>
      </c>
      <c r="O31" s="6">
        <v>0.04</v>
      </c>
      <c r="P31" s="6">
        <v>0.04</v>
      </c>
      <c r="Q31" s="6"/>
      <c r="R31" s="6">
        <f t="shared" si="6"/>
        <v>0.47999999999999993</v>
      </c>
      <c r="S31" s="1">
        <f t="shared" si="7"/>
        <v>1.8017882748628007E-4</v>
      </c>
    </row>
    <row r="32" spans="1:19" x14ac:dyDescent="0.25">
      <c r="A32" t="s">
        <v>26</v>
      </c>
      <c r="B32" t="s">
        <v>16</v>
      </c>
      <c r="D32" s="10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/>
      <c r="R32" s="6">
        <f t="shared" si="6"/>
        <v>0</v>
      </c>
      <c r="S32" s="1">
        <f t="shared" si="7"/>
        <v>0</v>
      </c>
    </row>
    <row r="33" spans="1:19" x14ac:dyDescent="0.25">
      <c r="A33" t="s">
        <v>26</v>
      </c>
      <c r="B33" t="s">
        <v>17</v>
      </c>
      <c r="D33" s="10">
        <v>1.6005121638924456E-2</v>
      </c>
      <c r="E33" s="6">
        <v>0.18000000000000002</v>
      </c>
      <c r="F33" s="6">
        <v>0.17</v>
      </c>
      <c r="G33" s="6">
        <v>0.18000000000000002</v>
      </c>
      <c r="H33" s="6">
        <v>0.15000000000000002</v>
      </c>
      <c r="I33" s="6">
        <v>0.17</v>
      </c>
      <c r="J33" s="6">
        <v>0.17</v>
      </c>
      <c r="K33" s="6">
        <v>0.15000000000000002</v>
      </c>
      <c r="L33" s="6">
        <v>0.13</v>
      </c>
      <c r="M33" s="6">
        <v>0.13</v>
      </c>
      <c r="N33" s="6">
        <v>0.17</v>
      </c>
      <c r="O33" s="6">
        <v>0.18000000000000002</v>
      </c>
      <c r="P33" s="6">
        <v>0.21000000000000002</v>
      </c>
      <c r="Q33" s="6"/>
      <c r="R33" s="6">
        <f t="shared" si="6"/>
        <v>1.9899999999999995</v>
      </c>
      <c r="S33" s="1">
        <f t="shared" si="7"/>
        <v>7.4699138895353606E-4</v>
      </c>
    </row>
    <row r="34" spans="1:19" x14ac:dyDescent="0.25">
      <c r="A34" t="s">
        <v>26</v>
      </c>
      <c r="B34" t="s">
        <v>18</v>
      </c>
      <c r="D34" s="10">
        <v>3.4186685032896749E-2</v>
      </c>
      <c r="E34" s="6">
        <v>62.89</v>
      </c>
      <c r="F34" s="6">
        <v>55.879999999999995</v>
      </c>
      <c r="G34" s="6">
        <v>62.53</v>
      </c>
      <c r="H34" s="6">
        <v>50.62</v>
      </c>
      <c r="I34" s="6">
        <v>55.57</v>
      </c>
      <c r="J34" s="6">
        <v>56.41</v>
      </c>
      <c r="K34" s="6">
        <v>49.419999999999995</v>
      </c>
      <c r="L34" s="6">
        <v>44.22</v>
      </c>
      <c r="M34" s="6">
        <v>46.14</v>
      </c>
      <c r="N34" s="6">
        <v>60.29</v>
      </c>
      <c r="O34" s="6">
        <v>61.18</v>
      </c>
      <c r="P34" s="6">
        <v>74.400000000000006</v>
      </c>
      <c r="Q34" s="6"/>
      <c r="R34" s="6">
        <f t="shared" si="6"/>
        <v>679.54999999999984</v>
      </c>
      <c r="S34" s="1">
        <f t="shared" si="7"/>
        <v>0.25508442128812836</v>
      </c>
    </row>
    <row r="35" spans="1:19" x14ac:dyDescent="0.25">
      <c r="A35" t="s">
        <v>26</v>
      </c>
      <c r="B35" t="s">
        <v>19</v>
      </c>
      <c r="D35" s="10">
        <v>3.6516907231701846E-2</v>
      </c>
      <c r="E35" s="6">
        <v>164.85</v>
      </c>
      <c r="F35" s="6">
        <v>145.51999999999998</v>
      </c>
      <c r="G35" s="6">
        <v>163.38999999999999</v>
      </c>
      <c r="H35" s="6">
        <v>131.82</v>
      </c>
      <c r="I35" s="6">
        <v>144.97</v>
      </c>
      <c r="J35" s="6">
        <v>147.84</v>
      </c>
      <c r="K35" s="6">
        <v>129.5</v>
      </c>
      <c r="L35" s="6">
        <v>115.69</v>
      </c>
      <c r="M35" s="6">
        <v>120.05000000000001</v>
      </c>
      <c r="N35" s="6">
        <v>157.44999999999999</v>
      </c>
      <c r="O35" s="6">
        <v>160.23000000000002</v>
      </c>
      <c r="P35" s="6">
        <v>194.89</v>
      </c>
      <c r="Q35" s="6"/>
      <c r="R35" s="6">
        <f t="shared" si="6"/>
        <v>1776.1999999999998</v>
      </c>
      <c r="S35" s="1">
        <f t="shared" si="7"/>
        <v>0.66673673621068896</v>
      </c>
    </row>
    <row r="36" spans="1:19" x14ac:dyDescent="0.25">
      <c r="A36" t="s">
        <v>26</v>
      </c>
      <c r="B36" t="s">
        <v>20</v>
      </c>
      <c r="D36" s="10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/>
      <c r="R36" s="6">
        <f t="shared" si="6"/>
        <v>0</v>
      </c>
      <c r="S36" s="1">
        <f t="shared" si="7"/>
        <v>0</v>
      </c>
    </row>
    <row r="37" spans="1:19" x14ac:dyDescent="0.25">
      <c r="A37" t="s">
        <v>26</v>
      </c>
      <c r="B37" t="s">
        <v>21</v>
      </c>
      <c r="D37" s="10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/>
      <c r="R37" s="6">
        <f t="shared" si="6"/>
        <v>0</v>
      </c>
      <c r="S37" s="1">
        <f t="shared" si="7"/>
        <v>0</v>
      </c>
    </row>
    <row r="38" spans="1:19" x14ac:dyDescent="0.25">
      <c r="A38" t="s">
        <v>26</v>
      </c>
      <c r="B38" t="s">
        <v>22</v>
      </c>
      <c r="D38" s="10">
        <v>1.4285714285714286E-3</v>
      </c>
      <c r="E38" s="7">
        <v>10.79</v>
      </c>
      <c r="F38" s="7">
        <v>9.58</v>
      </c>
      <c r="G38" s="7">
        <v>10.72</v>
      </c>
      <c r="H38" s="7">
        <v>8.65</v>
      </c>
      <c r="I38" s="7">
        <v>9.5</v>
      </c>
      <c r="J38" s="7">
        <v>9.65</v>
      </c>
      <c r="K38" s="7">
        <v>8.43</v>
      </c>
      <c r="L38" s="7">
        <v>7.58</v>
      </c>
      <c r="M38" s="7">
        <v>7.93</v>
      </c>
      <c r="N38" s="7">
        <v>10.36</v>
      </c>
      <c r="O38" s="7">
        <v>10.5</v>
      </c>
      <c r="P38" s="7">
        <v>12.5</v>
      </c>
      <c r="Q38" s="7"/>
      <c r="R38" s="7">
        <f t="shared" si="6"/>
        <v>116.18999999999998</v>
      </c>
      <c r="S38" s="1">
        <f t="shared" si="7"/>
        <v>4.3614537428397673E-2</v>
      </c>
    </row>
    <row r="39" spans="1:19" x14ac:dyDescent="0.25"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9" x14ac:dyDescent="0.25">
      <c r="A40" s="4" t="s">
        <v>27</v>
      </c>
      <c r="B40" s="8">
        <f>+E40/E$4</f>
        <v>0.16133554376657827</v>
      </c>
      <c r="C40" s="9"/>
      <c r="E40" s="5">
        <f t="shared" ref="E40:P40" si="8">+SUM(E41:E50)</f>
        <v>1216.4700000000003</v>
      </c>
      <c r="F40" s="5">
        <f t="shared" si="8"/>
        <v>1080.5499999999997</v>
      </c>
      <c r="G40" s="5">
        <f t="shared" si="8"/>
        <v>1209.1199999999997</v>
      </c>
      <c r="H40" s="5">
        <f t="shared" si="8"/>
        <v>978.7</v>
      </c>
      <c r="I40" s="5">
        <f t="shared" si="8"/>
        <v>1075.43</v>
      </c>
      <c r="J40" s="5">
        <f t="shared" si="8"/>
        <v>1090.5300000000002</v>
      </c>
      <c r="K40" s="5">
        <f t="shared" si="8"/>
        <v>955.07000000000016</v>
      </c>
      <c r="L40" s="5">
        <f t="shared" si="8"/>
        <v>854.57000000000028</v>
      </c>
      <c r="M40" s="5">
        <f t="shared" si="8"/>
        <v>892.21</v>
      </c>
      <c r="N40" s="5">
        <f t="shared" si="8"/>
        <v>1165.5299999999997</v>
      </c>
      <c r="O40" s="5">
        <f t="shared" si="8"/>
        <v>1183.5999999999997</v>
      </c>
      <c r="P40" s="5">
        <f t="shared" si="8"/>
        <v>1438.05</v>
      </c>
      <c r="R40" s="5">
        <f>SUM(E40:P40)</f>
        <v>13139.829999999996</v>
      </c>
    </row>
    <row r="41" spans="1:19" x14ac:dyDescent="0.25">
      <c r="A41" t="s">
        <v>28</v>
      </c>
      <c r="B41" t="s">
        <v>13</v>
      </c>
      <c r="D41" s="1">
        <v>0.15413858374979211</v>
      </c>
      <c r="E41" s="6">
        <v>14.410000000000011</v>
      </c>
      <c r="F41" s="6">
        <v>12.909999999999982</v>
      </c>
      <c r="G41" s="6">
        <v>14.269999999999982</v>
      </c>
      <c r="H41" s="6">
        <v>11.650000000000006</v>
      </c>
      <c r="I41" s="6">
        <v>12.739999999999981</v>
      </c>
      <c r="J41" s="6">
        <v>12.909999999999982</v>
      </c>
      <c r="K41" s="6">
        <v>11.350000000000001</v>
      </c>
      <c r="L41" s="6">
        <v>10.109999999999992</v>
      </c>
      <c r="M41" s="6">
        <v>10.550000000000011</v>
      </c>
      <c r="N41" s="6">
        <v>13.819999999999993</v>
      </c>
      <c r="O41" s="6">
        <v>13.959999999999994</v>
      </c>
      <c r="P41" s="6">
        <v>17.039999999999992</v>
      </c>
      <c r="Q41" s="6"/>
      <c r="R41" s="6">
        <f t="shared" ref="R41:R50" si="9">SUM(E41:P41)</f>
        <v>155.71999999999994</v>
      </c>
      <c r="S41" s="1">
        <f>+R41/$R$40</f>
        <v>1.1850990461824848E-2</v>
      </c>
    </row>
    <row r="42" spans="1:19" x14ac:dyDescent="0.25">
      <c r="A42" t="s">
        <v>28</v>
      </c>
      <c r="B42" t="s">
        <v>14</v>
      </c>
      <c r="D42" s="1">
        <v>0.26334158616421732</v>
      </c>
      <c r="E42" s="6">
        <v>28.650000000000006</v>
      </c>
      <c r="F42" s="6">
        <v>25.490000000000009</v>
      </c>
      <c r="G42" s="6">
        <v>28.650000000000006</v>
      </c>
      <c r="H42" s="6">
        <v>23.099999999999994</v>
      </c>
      <c r="I42" s="6">
        <v>25.490000000000009</v>
      </c>
      <c r="J42" s="6">
        <v>25.75</v>
      </c>
      <c r="K42" s="6">
        <v>22.57</v>
      </c>
      <c r="L42" s="6">
        <v>20.210000000000008</v>
      </c>
      <c r="M42" s="6">
        <v>21</v>
      </c>
      <c r="N42" s="6">
        <v>27.559999999999988</v>
      </c>
      <c r="O42" s="6">
        <v>28.120000000000005</v>
      </c>
      <c r="P42" s="6">
        <v>34.150000000000006</v>
      </c>
      <c r="Q42" s="6"/>
      <c r="R42" s="6">
        <f t="shared" si="9"/>
        <v>310.74</v>
      </c>
      <c r="S42" s="1">
        <f t="shared" ref="S42:S50" si="10">+R42/$R$40</f>
        <v>2.3648707783890666E-2</v>
      </c>
    </row>
    <row r="43" spans="1:19" x14ac:dyDescent="0.25">
      <c r="A43" t="s">
        <v>28</v>
      </c>
      <c r="B43" t="s">
        <v>15</v>
      </c>
      <c r="D43" s="1">
        <v>0.10164333536214241</v>
      </c>
      <c r="E43" s="6">
        <v>3.9999999999999813E-2</v>
      </c>
      <c r="F43" s="6">
        <v>3.9999999999999813E-2</v>
      </c>
      <c r="G43" s="6">
        <v>3.9999999999999813E-2</v>
      </c>
      <c r="H43" s="6">
        <v>3.9999999999999813E-2</v>
      </c>
      <c r="I43" s="6">
        <v>3.9999999999999813E-2</v>
      </c>
      <c r="J43" s="6">
        <v>3.9999999999999813E-2</v>
      </c>
      <c r="K43" s="6">
        <v>3.9999999999999813E-2</v>
      </c>
      <c r="L43" s="6">
        <v>3.9999999999999813E-2</v>
      </c>
      <c r="M43" s="6">
        <v>3.9999999999999813E-2</v>
      </c>
      <c r="N43" s="6">
        <v>3.9999999999999813E-2</v>
      </c>
      <c r="O43" s="6">
        <v>3.9999999999999813E-2</v>
      </c>
      <c r="P43" s="6">
        <v>3.9999999999999813E-2</v>
      </c>
      <c r="Q43" s="6"/>
      <c r="R43" s="6">
        <f t="shared" si="9"/>
        <v>0.47999999999999776</v>
      </c>
      <c r="S43" s="1">
        <f t="shared" si="10"/>
        <v>3.6530152977625885E-5</v>
      </c>
    </row>
    <row r="44" spans="1:19" x14ac:dyDescent="0.25">
      <c r="A44" t="s">
        <v>28</v>
      </c>
      <c r="B44" t="s">
        <v>16</v>
      </c>
      <c r="D44" s="1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/>
      <c r="R44" s="6">
        <f t="shared" si="9"/>
        <v>0</v>
      </c>
      <c r="S44" s="1">
        <f t="shared" si="10"/>
        <v>0</v>
      </c>
    </row>
    <row r="45" spans="1:19" x14ac:dyDescent="0.25">
      <c r="A45" t="s">
        <v>28</v>
      </c>
      <c r="B45" t="s">
        <v>17</v>
      </c>
      <c r="D45" s="1">
        <v>0.22695262483994877</v>
      </c>
      <c r="E45" s="6">
        <v>2.4500000000000011</v>
      </c>
      <c r="F45" s="6">
        <v>2.1900000000000013</v>
      </c>
      <c r="G45" s="6">
        <v>2.4500000000000011</v>
      </c>
      <c r="H45" s="6">
        <v>1.9700000000000006</v>
      </c>
      <c r="I45" s="6">
        <v>2.1900000000000013</v>
      </c>
      <c r="J45" s="6">
        <v>2.1900000000000013</v>
      </c>
      <c r="K45" s="6">
        <v>1.9700000000000006</v>
      </c>
      <c r="L45" s="6">
        <v>1.7599999999999998</v>
      </c>
      <c r="M45" s="6">
        <v>1.7599999999999998</v>
      </c>
      <c r="N45" s="6">
        <v>2.1900000000000013</v>
      </c>
      <c r="O45" s="6">
        <v>2.4500000000000011</v>
      </c>
      <c r="P45" s="6">
        <v>2.8800000000000008</v>
      </c>
      <c r="Q45" s="6"/>
      <c r="R45" s="6">
        <f t="shared" si="9"/>
        <v>26.45000000000001</v>
      </c>
      <c r="S45" s="1">
        <f t="shared" si="10"/>
        <v>2.0129636380379363E-3</v>
      </c>
    </row>
    <row r="46" spans="1:19" x14ac:dyDescent="0.25">
      <c r="A46" t="s">
        <v>28</v>
      </c>
      <c r="B46" t="s">
        <v>18</v>
      </c>
      <c r="D46" s="1">
        <v>0.10553376921716678</v>
      </c>
      <c r="E46" s="6">
        <v>227.97000000000025</v>
      </c>
      <c r="F46" s="6">
        <v>201.75999999999976</v>
      </c>
      <c r="G46" s="6">
        <v>226.19999999999982</v>
      </c>
      <c r="H46" s="6">
        <v>183.23000000000002</v>
      </c>
      <c r="I46" s="6">
        <v>201.45000000000005</v>
      </c>
      <c r="J46" s="6">
        <v>203.72000000000025</v>
      </c>
      <c r="K46" s="6">
        <v>178</v>
      </c>
      <c r="L46" s="6">
        <v>160.04000000000019</v>
      </c>
      <c r="M46" s="6">
        <v>166.76</v>
      </c>
      <c r="N46" s="6">
        <v>217.23999999999978</v>
      </c>
      <c r="O46" s="6">
        <v>221.52999999999975</v>
      </c>
      <c r="P46" s="6">
        <v>268.28999999999996</v>
      </c>
      <c r="Q46" s="6"/>
      <c r="R46" s="6">
        <f t="shared" si="9"/>
        <v>2456.1899999999996</v>
      </c>
      <c r="S46" s="1">
        <f t="shared" si="10"/>
        <v>0.18692707592107358</v>
      </c>
    </row>
    <row r="47" spans="1:19" x14ac:dyDescent="0.25">
      <c r="A47" t="s">
        <v>28</v>
      </c>
      <c r="B47" t="s">
        <v>19</v>
      </c>
      <c r="D47" s="1">
        <v>0.13964648067239571</v>
      </c>
      <c r="E47" s="6">
        <v>936.87</v>
      </c>
      <c r="F47" s="6">
        <v>832.84</v>
      </c>
      <c r="G47" s="6">
        <v>931.5</v>
      </c>
      <c r="H47" s="6">
        <v>753.94</v>
      </c>
      <c r="I47" s="6">
        <v>828.16000000000008</v>
      </c>
      <c r="J47" s="6">
        <v>840.56999999999994</v>
      </c>
      <c r="K47" s="6">
        <v>736.43000000000006</v>
      </c>
      <c r="L47" s="6">
        <v>658.22</v>
      </c>
      <c r="M47" s="6">
        <v>687.58</v>
      </c>
      <c r="N47" s="6">
        <v>898.8</v>
      </c>
      <c r="O47" s="6">
        <v>911.52</v>
      </c>
      <c r="P47" s="6">
        <v>1108.9099999999999</v>
      </c>
      <c r="Q47" s="6"/>
      <c r="R47" s="6">
        <f t="shared" si="9"/>
        <v>10125.34</v>
      </c>
      <c r="S47" s="1">
        <f t="shared" si="10"/>
        <v>0.77058378989682541</v>
      </c>
    </row>
    <row r="48" spans="1:19" x14ac:dyDescent="0.25">
      <c r="A48" t="s">
        <v>28</v>
      </c>
      <c r="B48" t="s">
        <v>20</v>
      </c>
      <c r="D48" s="1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/>
      <c r="R48" s="6">
        <f t="shared" si="9"/>
        <v>0</v>
      </c>
      <c r="S48" s="1">
        <f t="shared" si="10"/>
        <v>0</v>
      </c>
    </row>
    <row r="49" spans="1:19" x14ac:dyDescent="0.25">
      <c r="A49" t="s">
        <v>28</v>
      </c>
      <c r="B49" t="s">
        <v>21</v>
      </c>
      <c r="D49" s="1">
        <v>0.99879790643384536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/>
      <c r="R49" s="6">
        <f t="shared" si="9"/>
        <v>0</v>
      </c>
      <c r="S49" s="1">
        <f t="shared" si="10"/>
        <v>0</v>
      </c>
    </row>
    <row r="50" spans="1:19" x14ac:dyDescent="0.25">
      <c r="A50" t="s">
        <v>28</v>
      </c>
      <c r="B50" t="s">
        <v>22</v>
      </c>
      <c r="D50" s="1">
        <v>1.4285714285714286E-3</v>
      </c>
      <c r="E50" s="7">
        <v>6.0800000000000409</v>
      </c>
      <c r="F50" s="7">
        <v>5.3199999999999932</v>
      </c>
      <c r="G50" s="7">
        <v>6.0099999999999909</v>
      </c>
      <c r="H50" s="7">
        <v>4.7699999999999676</v>
      </c>
      <c r="I50" s="7">
        <v>5.3599999999999994</v>
      </c>
      <c r="J50" s="7">
        <v>5.3499999999999659</v>
      </c>
      <c r="K50" s="7">
        <v>4.7099999999999795</v>
      </c>
      <c r="L50" s="7">
        <v>4.1900000000000119</v>
      </c>
      <c r="M50" s="7">
        <v>4.5199999999999818</v>
      </c>
      <c r="N50" s="7">
        <v>5.8799999999999955</v>
      </c>
      <c r="O50" s="7">
        <v>5.9800000000000182</v>
      </c>
      <c r="P50" s="7">
        <v>6.7400000000000091</v>
      </c>
      <c r="Q50" s="7"/>
      <c r="R50" s="7">
        <f t="shared" si="9"/>
        <v>64.909999999999954</v>
      </c>
      <c r="S50" s="1">
        <f t="shared" si="10"/>
        <v>4.9399421453702195E-3</v>
      </c>
    </row>
    <row r="51" spans="1:19" x14ac:dyDescent="0.25"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R51">
        <f>SUM(R41:R50)</f>
        <v>13139.83</v>
      </c>
      <c r="S51">
        <f>SUM(S41:S50)</f>
        <v>1.0000000000000002</v>
      </c>
    </row>
    <row r="52" spans="1:19" x14ac:dyDescent="0.25">
      <c r="A52" s="4" t="s">
        <v>29</v>
      </c>
      <c r="B52" s="8">
        <f>+E52/E$4</f>
        <v>4.4372679045092837E-2</v>
      </c>
      <c r="C52" s="9"/>
      <c r="E52" s="5">
        <f t="shared" ref="E52:P52" si="11">+SUM(E53:E62)</f>
        <v>334.57</v>
      </c>
      <c r="F52" s="5">
        <f t="shared" si="11"/>
        <v>297.38</v>
      </c>
      <c r="G52" s="5">
        <f t="shared" si="11"/>
        <v>332.5</v>
      </c>
      <c r="H52" s="5">
        <f t="shared" si="11"/>
        <v>269.46999999999997</v>
      </c>
      <c r="I52" s="5">
        <f t="shared" si="11"/>
        <v>295.31</v>
      </c>
      <c r="J52" s="5">
        <f t="shared" si="11"/>
        <v>300.45</v>
      </c>
      <c r="K52" s="5">
        <f t="shared" si="11"/>
        <v>263.26000000000005</v>
      </c>
      <c r="L52" s="5">
        <f t="shared" si="11"/>
        <v>235.42000000000002</v>
      </c>
      <c r="M52" s="5">
        <f t="shared" si="11"/>
        <v>245.77</v>
      </c>
      <c r="N52" s="5">
        <f t="shared" si="11"/>
        <v>321.14999999999998</v>
      </c>
      <c r="O52" s="5">
        <f t="shared" si="11"/>
        <v>325.28999999999996</v>
      </c>
      <c r="P52" s="5">
        <f t="shared" si="11"/>
        <v>396.25</v>
      </c>
      <c r="R52" s="5">
        <f>SUM(E52:P52)</f>
        <v>3616.82</v>
      </c>
    </row>
    <row r="53" spans="1:19" x14ac:dyDescent="0.25">
      <c r="A53" t="s">
        <v>30</v>
      </c>
      <c r="B53" t="s">
        <v>13</v>
      </c>
      <c r="D53" s="1">
        <v>6.5862525046925829E-2</v>
      </c>
      <c r="E53" s="6">
        <v>6.2</v>
      </c>
      <c r="F53" s="6">
        <v>5.54</v>
      </c>
      <c r="G53" s="6">
        <v>6.13</v>
      </c>
      <c r="H53" s="6">
        <v>5.01</v>
      </c>
      <c r="I53" s="6">
        <v>5.47</v>
      </c>
      <c r="J53" s="6">
        <v>5.54</v>
      </c>
      <c r="K53" s="6">
        <v>4.88</v>
      </c>
      <c r="L53" s="6">
        <v>4.3499999999999996</v>
      </c>
      <c r="M53" s="6">
        <v>4.55</v>
      </c>
      <c r="N53" s="6">
        <v>5.93</v>
      </c>
      <c r="O53" s="6">
        <v>6</v>
      </c>
      <c r="P53" s="6">
        <v>7.3199999999999994</v>
      </c>
      <c r="Q53" s="6"/>
      <c r="R53" s="6">
        <f t="shared" ref="R53:R110" si="12">SUM(E53:P53)</f>
        <v>66.92</v>
      </c>
      <c r="S53" s="1">
        <f>+R53/$R$52</f>
        <v>1.8502441371149241E-2</v>
      </c>
    </row>
    <row r="54" spans="1:19" x14ac:dyDescent="0.25">
      <c r="A54" t="s">
        <v>30</v>
      </c>
      <c r="B54" t="s">
        <v>14</v>
      </c>
      <c r="D54" s="1">
        <v>2.9241414090656195E-2</v>
      </c>
      <c r="E54" s="6">
        <v>3.19</v>
      </c>
      <c r="F54" s="6">
        <v>2.84</v>
      </c>
      <c r="G54" s="6">
        <v>3.19</v>
      </c>
      <c r="H54" s="6">
        <v>2.5799999999999996</v>
      </c>
      <c r="I54" s="6">
        <v>2.84</v>
      </c>
      <c r="J54" s="6">
        <v>2.8699999999999997</v>
      </c>
      <c r="K54" s="6">
        <v>2.5199999999999996</v>
      </c>
      <c r="L54" s="6">
        <v>2.2599999999999998</v>
      </c>
      <c r="M54" s="6">
        <v>2.34</v>
      </c>
      <c r="N54" s="6">
        <v>3.0799999999999996</v>
      </c>
      <c r="O54" s="6">
        <v>3.13</v>
      </c>
      <c r="P54" s="6">
        <v>3.8099999999999996</v>
      </c>
      <c r="Q54" s="6"/>
      <c r="R54" s="6">
        <f t="shared" si="12"/>
        <v>34.65</v>
      </c>
      <c r="S54" s="1">
        <f t="shared" ref="S54:S62" si="13">+R54/$R$52</f>
        <v>9.5802389944758086E-3</v>
      </c>
    </row>
    <row r="55" spans="1:19" x14ac:dyDescent="0.25">
      <c r="A55" t="s">
        <v>30</v>
      </c>
      <c r="B55" t="s">
        <v>15</v>
      </c>
      <c r="D55" s="1">
        <v>4.0474741326841139E-2</v>
      </c>
      <c r="E55" s="6">
        <v>0.05</v>
      </c>
      <c r="F55" s="6">
        <v>0.05</v>
      </c>
      <c r="G55" s="6">
        <v>0.05</v>
      </c>
      <c r="H55" s="6">
        <v>0.05</v>
      </c>
      <c r="I55" s="6">
        <v>0.05</v>
      </c>
      <c r="J55" s="6">
        <v>0.05</v>
      </c>
      <c r="K55" s="6">
        <v>0.05</v>
      </c>
      <c r="L55" s="6">
        <v>0.05</v>
      </c>
      <c r="M55" s="6">
        <v>0.05</v>
      </c>
      <c r="N55" s="6">
        <v>0.05</v>
      </c>
      <c r="O55" s="6">
        <v>0.05</v>
      </c>
      <c r="P55" s="6">
        <v>0.05</v>
      </c>
      <c r="Q55" s="6"/>
      <c r="R55" s="6">
        <f t="shared" si="12"/>
        <v>0.6</v>
      </c>
      <c r="S55" s="1">
        <f t="shared" si="13"/>
        <v>1.6589158431992745E-4</v>
      </c>
    </row>
    <row r="56" spans="1:19" x14ac:dyDescent="0.25">
      <c r="A56" t="s">
        <v>30</v>
      </c>
      <c r="B56" t="s">
        <v>16</v>
      </c>
      <c r="D56" s="1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/>
      <c r="R56" s="6">
        <f t="shared" si="12"/>
        <v>0</v>
      </c>
      <c r="S56" s="1">
        <f t="shared" si="13"/>
        <v>0</v>
      </c>
    </row>
    <row r="57" spans="1:19" x14ac:dyDescent="0.25">
      <c r="A57" t="s">
        <v>30</v>
      </c>
      <c r="B57" t="s">
        <v>17</v>
      </c>
      <c r="D57" s="1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/>
      <c r="R57" s="6">
        <f t="shared" si="12"/>
        <v>0</v>
      </c>
      <c r="S57" s="1">
        <f t="shared" si="13"/>
        <v>0</v>
      </c>
    </row>
    <row r="58" spans="1:19" x14ac:dyDescent="0.25">
      <c r="A58" t="s">
        <v>30</v>
      </c>
      <c r="B58" t="s">
        <v>18</v>
      </c>
      <c r="D58" s="1">
        <v>3.8965150889862916E-2</v>
      </c>
      <c r="E58" s="6">
        <v>109.97</v>
      </c>
      <c r="F58" s="6">
        <v>97.78</v>
      </c>
      <c r="G58" s="6">
        <v>109.21000000000001</v>
      </c>
      <c r="H58" s="6">
        <v>88.68</v>
      </c>
      <c r="I58" s="6">
        <v>96.87</v>
      </c>
      <c r="J58" s="6">
        <v>99.03</v>
      </c>
      <c r="K58" s="6">
        <v>86.810000000000031</v>
      </c>
      <c r="L58" s="6">
        <v>77.490000000000009</v>
      </c>
      <c r="M58" s="6">
        <v>80.970000000000027</v>
      </c>
      <c r="N58" s="6">
        <v>105.82</v>
      </c>
      <c r="O58" s="6">
        <v>106.81</v>
      </c>
      <c r="P58" s="6">
        <v>130.80000000000001</v>
      </c>
      <c r="Q58" s="6"/>
      <c r="R58" s="6">
        <f t="shared" si="12"/>
        <v>1190.24</v>
      </c>
      <c r="S58" s="1">
        <f t="shared" si="13"/>
        <v>0.32908466553491739</v>
      </c>
    </row>
    <row r="59" spans="1:19" x14ac:dyDescent="0.25">
      <c r="A59" t="s">
        <v>30</v>
      </c>
      <c r="B59" t="s">
        <v>19</v>
      </c>
      <c r="D59" s="1">
        <v>4.1878298290924119E-2</v>
      </c>
      <c r="E59" s="6">
        <v>204.37</v>
      </c>
      <c r="F59" s="6">
        <v>181.59</v>
      </c>
      <c r="G59" s="6">
        <v>203.2</v>
      </c>
      <c r="H59" s="6">
        <v>164.5</v>
      </c>
      <c r="I59" s="6">
        <v>180.57999999999998</v>
      </c>
      <c r="J59" s="6">
        <v>183.31</v>
      </c>
      <c r="K59" s="6">
        <v>160.57</v>
      </c>
      <c r="L59" s="6">
        <v>143.69</v>
      </c>
      <c r="M59" s="6">
        <v>149.92999999999998</v>
      </c>
      <c r="N59" s="6">
        <v>195.91</v>
      </c>
      <c r="O59" s="6">
        <v>198.79999999999998</v>
      </c>
      <c r="P59" s="6">
        <v>241.76999999999998</v>
      </c>
      <c r="Q59" s="6"/>
      <c r="R59" s="6">
        <f t="shared" si="12"/>
        <v>2208.2200000000003</v>
      </c>
      <c r="S59" s="1">
        <f t="shared" si="13"/>
        <v>0.61054185721158372</v>
      </c>
    </row>
    <row r="60" spans="1:19" x14ac:dyDescent="0.25">
      <c r="A60" t="s">
        <v>30</v>
      </c>
      <c r="B60" t="s">
        <v>20</v>
      </c>
      <c r="D60" s="1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/>
      <c r="R60" s="6">
        <f t="shared" si="12"/>
        <v>0</v>
      </c>
      <c r="S60" s="1">
        <f t="shared" si="13"/>
        <v>0</v>
      </c>
    </row>
    <row r="61" spans="1:19" x14ac:dyDescent="0.25">
      <c r="A61" t="s">
        <v>30</v>
      </c>
      <c r="B61" t="s">
        <v>21</v>
      </c>
      <c r="D61" s="1">
        <v>8.4146549630837083E-6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/>
      <c r="R61" s="6">
        <f t="shared" si="12"/>
        <v>0</v>
      </c>
      <c r="S61" s="1">
        <f t="shared" si="13"/>
        <v>0</v>
      </c>
    </row>
    <row r="62" spans="1:19" x14ac:dyDescent="0.25">
      <c r="A62" t="s">
        <v>30</v>
      </c>
      <c r="B62" t="s">
        <v>22</v>
      </c>
      <c r="D62" s="1">
        <v>1.4285714285714286E-3</v>
      </c>
      <c r="E62" s="7">
        <v>10.79</v>
      </c>
      <c r="F62" s="7">
        <v>9.58</v>
      </c>
      <c r="G62" s="7">
        <v>10.72</v>
      </c>
      <c r="H62" s="7">
        <v>8.65</v>
      </c>
      <c r="I62" s="7">
        <v>9.5</v>
      </c>
      <c r="J62" s="7">
        <v>9.65</v>
      </c>
      <c r="K62" s="7">
        <v>8.43</v>
      </c>
      <c r="L62" s="7">
        <v>7.58</v>
      </c>
      <c r="M62" s="7">
        <v>7.93</v>
      </c>
      <c r="N62" s="7">
        <v>10.36</v>
      </c>
      <c r="O62" s="7">
        <v>10.5</v>
      </c>
      <c r="P62" s="7">
        <v>12.5</v>
      </c>
      <c r="Q62" s="7"/>
      <c r="R62" s="7">
        <f t="shared" si="12"/>
        <v>116.18999999999998</v>
      </c>
      <c r="S62" s="1">
        <f t="shared" si="13"/>
        <v>3.2124905303553948E-2</v>
      </c>
    </row>
    <row r="63" spans="1:19" x14ac:dyDescent="0.25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9" x14ac:dyDescent="0.25">
      <c r="A64" s="4" t="s">
        <v>31</v>
      </c>
      <c r="B64" s="8">
        <f>+E64/E$4</f>
        <v>4.7423076923076922E-2</v>
      </c>
      <c r="C64" s="9"/>
      <c r="E64" s="5">
        <f t="shared" ref="E64:P64" si="14">+SUM(E65:E74)</f>
        <v>357.57</v>
      </c>
      <c r="F64" s="5">
        <f t="shared" si="14"/>
        <v>317.37999999999994</v>
      </c>
      <c r="G64" s="5">
        <f t="shared" si="14"/>
        <v>355.5</v>
      </c>
      <c r="H64" s="5">
        <f t="shared" si="14"/>
        <v>287.46999999999997</v>
      </c>
      <c r="I64" s="5">
        <f t="shared" si="14"/>
        <v>315.31</v>
      </c>
      <c r="J64" s="5">
        <f t="shared" si="14"/>
        <v>320.45</v>
      </c>
      <c r="K64" s="5">
        <f t="shared" si="14"/>
        <v>281.26000000000005</v>
      </c>
      <c r="L64" s="5">
        <f t="shared" si="14"/>
        <v>251.42000000000002</v>
      </c>
      <c r="M64" s="5">
        <f t="shared" si="14"/>
        <v>261.77</v>
      </c>
      <c r="N64" s="5">
        <f t="shared" si="14"/>
        <v>342.15000000000003</v>
      </c>
      <c r="O64" s="5">
        <f t="shared" si="14"/>
        <v>347.29</v>
      </c>
      <c r="P64" s="5">
        <f t="shared" si="14"/>
        <v>422.25</v>
      </c>
      <c r="R64" s="5">
        <f>SUM(E64:P64)</f>
        <v>3859.82</v>
      </c>
    </row>
    <row r="65" spans="1:19" x14ac:dyDescent="0.25">
      <c r="A65" t="s">
        <v>32</v>
      </c>
      <c r="B65" t="s">
        <v>13</v>
      </c>
      <c r="D65" s="1">
        <v>5.3642001219676334E-2</v>
      </c>
      <c r="E65" s="6">
        <v>5.05</v>
      </c>
      <c r="F65" s="6">
        <v>4.51</v>
      </c>
      <c r="G65" s="6">
        <v>4.99</v>
      </c>
      <c r="H65" s="6">
        <v>4.08</v>
      </c>
      <c r="I65" s="6">
        <v>4.46</v>
      </c>
      <c r="J65" s="6">
        <v>4.51</v>
      </c>
      <c r="K65" s="6">
        <v>3.9699999999999998</v>
      </c>
      <c r="L65" s="6">
        <v>3.55</v>
      </c>
      <c r="M65" s="6">
        <v>3.71</v>
      </c>
      <c r="N65" s="6">
        <v>4.83</v>
      </c>
      <c r="O65" s="6">
        <v>4.8899999999999997</v>
      </c>
      <c r="P65" s="6">
        <v>5.96</v>
      </c>
      <c r="Q65" s="6"/>
      <c r="R65" s="6">
        <f t="shared" si="12"/>
        <v>54.51</v>
      </c>
      <c r="S65" s="1">
        <f>+R65/$R$64</f>
        <v>1.4122420216486778E-2</v>
      </c>
    </row>
    <row r="66" spans="1:19" x14ac:dyDescent="0.25">
      <c r="A66" t="s">
        <v>32</v>
      </c>
      <c r="B66" t="s">
        <v>14</v>
      </c>
      <c r="D66" s="1">
        <v>5.4354149209190475E-2</v>
      </c>
      <c r="E66" s="6">
        <v>5.93</v>
      </c>
      <c r="F66" s="6">
        <v>5.2799999999999994</v>
      </c>
      <c r="G66" s="6">
        <v>5.93</v>
      </c>
      <c r="H66" s="6">
        <v>4.79</v>
      </c>
      <c r="I66" s="6">
        <v>5.2799999999999994</v>
      </c>
      <c r="J66" s="6">
        <v>5.33</v>
      </c>
      <c r="K66" s="6">
        <v>4.68</v>
      </c>
      <c r="L66" s="6">
        <v>4.1899999999999995</v>
      </c>
      <c r="M66" s="6">
        <v>4.3499999999999996</v>
      </c>
      <c r="N66" s="6">
        <v>5.71</v>
      </c>
      <c r="O66" s="6">
        <v>5.8199999999999994</v>
      </c>
      <c r="P66" s="6">
        <v>7.0699999999999994</v>
      </c>
      <c r="Q66" s="6"/>
      <c r="R66" s="6">
        <f t="shared" si="12"/>
        <v>64.36</v>
      </c>
      <c r="S66" s="1">
        <f t="shared" ref="S66:S74" si="15">+R66/$R$64</f>
        <v>1.6674352690021814E-2</v>
      </c>
    </row>
    <row r="67" spans="1:19" x14ac:dyDescent="0.25">
      <c r="A67" t="s">
        <v>32</v>
      </c>
      <c r="B67" t="s">
        <v>15</v>
      </c>
      <c r="D67" s="1">
        <v>9.5709068776628131E-2</v>
      </c>
      <c r="E67" s="6">
        <v>9.9999999999999992E-2</v>
      </c>
      <c r="F67" s="6">
        <v>9.9999999999999992E-2</v>
      </c>
      <c r="G67" s="6">
        <v>9.9999999999999992E-2</v>
      </c>
      <c r="H67" s="6">
        <v>9.9999999999999992E-2</v>
      </c>
      <c r="I67" s="6">
        <v>9.9999999999999992E-2</v>
      </c>
      <c r="J67" s="6">
        <v>9.9999999999999992E-2</v>
      </c>
      <c r="K67" s="6">
        <v>9.9999999999999992E-2</v>
      </c>
      <c r="L67" s="6">
        <v>9.9999999999999992E-2</v>
      </c>
      <c r="M67" s="6">
        <v>9.9999999999999992E-2</v>
      </c>
      <c r="N67" s="6">
        <v>9.9999999999999992E-2</v>
      </c>
      <c r="O67" s="6">
        <v>9.9999999999999992E-2</v>
      </c>
      <c r="P67" s="6">
        <v>9.9999999999999992E-2</v>
      </c>
      <c r="Q67" s="6"/>
      <c r="R67" s="6">
        <f t="shared" si="12"/>
        <v>1.2</v>
      </c>
      <c r="S67" s="1">
        <f t="shared" si="15"/>
        <v>3.1089532672508042E-4</v>
      </c>
    </row>
    <row r="68" spans="1:19" x14ac:dyDescent="0.25">
      <c r="A68" t="s">
        <v>32</v>
      </c>
      <c r="B68" t="s">
        <v>16</v>
      </c>
      <c r="D68" s="1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/>
      <c r="R68" s="6">
        <f t="shared" si="12"/>
        <v>0</v>
      </c>
      <c r="S68" s="1">
        <f t="shared" si="15"/>
        <v>0</v>
      </c>
    </row>
    <row r="69" spans="1:19" x14ac:dyDescent="0.25">
      <c r="A69" t="s">
        <v>32</v>
      </c>
      <c r="B69" t="s">
        <v>17</v>
      </c>
      <c r="D69" s="1">
        <v>1.856594110115237E-2</v>
      </c>
      <c r="E69" s="6">
        <v>0.21000000000000002</v>
      </c>
      <c r="F69" s="6">
        <v>0.19</v>
      </c>
      <c r="G69" s="6">
        <v>0.21000000000000002</v>
      </c>
      <c r="H69" s="6">
        <v>0.17</v>
      </c>
      <c r="I69" s="6">
        <v>0.19</v>
      </c>
      <c r="J69" s="6">
        <v>0.19</v>
      </c>
      <c r="K69" s="6">
        <v>0.17</v>
      </c>
      <c r="L69" s="6">
        <v>0.15000000000000002</v>
      </c>
      <c r="M69" s="6">
        <v>0.15000000000000002</v>
      </c>
      <c r="N69" s="6">
        <v>0.19</v>
      </c>
      <c r="O69" s="6">
        <v>0.21000000000000002</v>
      </c>
      <c r="P69" s="6">
        <v>0.25</v>
      </c>
      <c r="Q69" s="6"/>
      <c r="R69" s="6">
        <f t="shared" si="12"/>
        <v>2.2799999999999998</v>
      </c>
      <c r="S69" s="1">
        <f t="shared" si="15"/>
        <v>5.9070112077765275E-4</v>
      </c>
    </row>
    <row r="70" spans="1:19" x14ac:dyDescent="0.25">
      <c r="A70" t="s">
        <v>32</v>
      </c>
      <c r="B70" t="s">
        <v>18</v>
      </c>
      <c r="D70" s="1">
        <v>5.1980802891686426E-2</v>
      </c>
      <c r="E70" s="6">
        <v>119.25</v>
      </c>
      <c r="F70" s="6">
        <v>105.94000000000001</v>
      </c>
      <c r="G70" s="6">
        <v>118.52000000000001</v>
      </c>
      <c r="H70" s="6">
        <v>95.960000000000008</v>
      </c>
      <c r="I70" s="6">
        <v>105.37</v>
      </c>
      <c r="J70" s="6">
        <v>106.93</v>
      </c>
      <c r="K70" s="6">
        <v>93.67</v>
      </c>
      <c r="L70" s="6">
        <v>83.850000000000009</v>
      </c>
      <c r="M70" s="6">
        <v>87.490000000000009</v>
      </c>
      <c r="N70" s="6">
        <v>114.31</v>
      </c>
      <c r="O70" s="6">
        <v>115.97</v>
      </c>
      <c r="P70" s="6">
        <v>141.07999999999998</v>
      </c>
      <c r="Q70" s="6"/>
      <c r="R70" s="6">
        <f t="shared" si="12"/>
        <v>1288.3399999999999</v>
      </c>
      <c r="S70" s="1">
        <f t="shared" si="15"/>
        <v>0.33378240436082507</v>
      </c>
    </row>
    <row r="71" spans="1:19" x14ac:dyDescent="0.25">
      <c r="A71" t="s">
        <v>32</v>
      </c>
      <c r="B71" t="s">
        <v>19</v>
      </c>
      <c r="D71" s="1">
        <v>4.5993028109253591E-2</v>
      </c>
      <c r="E71" s="6">
        <v>216.24</v>
      </c>
      <c r="F71" s="6">
        <v>191.77999999999997</v>
      </c>
      <c r="G71" s="6">
        <v>215.03</v>
      </c>
      <c r="H71" s="6">
        <v>173.71999999999997</v>
      </c>
      <c r="I71" s="6">
        <v>190.41</v>
      </c>
      <c r="J71" s="6">
        <v>193.74</v>
      </c>
      <c r="K71" s="6">
        <v>170.24</v>
      </c>
      <c r="L71" s="6">
        <v>152</v>
      </c>
      <c r="M71" s="6">
        <v>158.04</v>
      </c>
      <c r="N71" s="6">
        <v>206.65</v>
      </c>
      <c r="O71" s="6">
        <v>209.8</v>
      </c>
      <c r="P71" s="6">
        <v>255.29000000000002</v>
      </c>
      <c r="Q71" s="6"/>
      <c r="R71" s="6">
        <f t="shared" si="12"/>
        <v>2332.94</v>
      </c>
      <c r="S71" s="1">
        <f t="shared" si="15"/>
        <v>0.60441678627500761</v>
      </c>
    </row>
    <row r="72" spans="1:19" x14ac:dyDescent="0.25">
      <c r="A72" t="s">
        <v>32</v>
      </c>
      <c r="B72" t="s">
        <v>20</v>
      </c>
      <c r="D72" s="1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/>
      <c r="R72" s="6">
        <f t="shared" si="12"/>
        <v>0</v>
      </c>
      <c r="S72" s="1">
        <f t="shared" si="15"/>
        <v>0</v>
      </c>
    </row>
    <row r="73" spans="1:19" x14ac:dyDescent="0.25">
      <c r="A73" t="s">
        <v>32</v>
      </c>
      <c r="B73" t="s">
        <v>21</v>
      </c>
      <c r="D73" s="1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/>
      <c r="R73" s="6">
        <f t="shared" si="12"/>
        <v>0</v>
      </c>
      <c r="S73" s="1">
        <f t="shared" si="15"/>
        <v>0</v>
      </c>
    </row>
    <row r="74" spans="1:19" x14ac:dyDescent="0.25">
      <c r="A74" t="s">
        <v>32</v>
      </c>
      <c r="B74" t="s">
        <v>22</v>
      </c>
      <c r="D74" s="1">
        <v>1.4285714285714286E-3</v>
      </c>
      <c r="E74" s="7">
        <v>10.79</v>
      </c>
      <c r="F74" s="7">
        <v>9.58</v>
      </c>
      <c r="G74" s="7">
        <v>10.72</v>
      </c>
      <c r="H74" s="7">
        <v>8.65</v>
      </c>
      <c r="I74" s="7">
        <v>9.5</v>
      </c>
      <c r="J74" s="7">
        <v>9.65</v>
      </c>
      <c r="K74" s="7">
        <v>8.43</v>
      </c>
      <c r="L74" s="7">
        <v>7.58</v>
      </c>
      <c r="M74" s="7">
        <v>7.93</v>
      </c>
      <c r="N74" s="7">
        <v>10.36</v>
      </c>
      <c r="O74" s="7">
        <v>10.5</v>
      </c>
      <c r="P74" s="7">
        <v>12.5</v>
      </c>
      <c r="Q74" s="7"/>
      <c r="R74" s="7">
        <f t="shared" si="12"/>
        <v>116.18999999999998</v>
      </c>
      <c r="S74" s="1">
        <f t="shared" si="15"/>
        <v>3.0102440010155909E-2</v>
      </c>
    </row>
    <row r="75" spans="1:19" x14ac:dyDescent="0.25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9" x14ac:dyDescent="0.25">
      <c r="A76" s="4" t="s">
        <v>33</v>
      </c>
      <c r="B76" s="8">
        <f>+E76/E$4</f>
        <v>6.3738726790451117E-2</v>
      </c>
      <c r="C76" s="9"/>
      <c r="E76" s="5">
        <f t="shared" ref="E76:P76" si="16">+SUM(E77:E86)</f>
        <v>480.59000000000145</v>
      </c>
      <c r="F76" s="5">
        <f t="shared" si="16"/>
        <v>426.98573076923202</v>
      </c>
      <c r="G76" s="5">
        <f t="shared" si="16"/>
        <v>477.78549602122155</v>
      </c>
      <c r="H76" s="5">
        <f t="shared" si="16"/>
        <v>386.83033289124791</v>
      </c>
      <c r="I76" s="5">
        <f t="shared" si="16"/>
        <v>424.62739787798535</v>
      </c>
      <c r="J76" s="5">
        <f t="shared" si="16"/>
        <v>431.06500928382093</v>
      </c>
      <c r="K76" s="5">
        <f t="shared" si="16"/>
        <v>377.58821750663242</v>
      </c>
      <c r="L76" s="5">
        <f t="shared" si="16"/>
        <v>337.87899071618136</v>
      </c>
      <c r="M76" s="5">
        <f t="shared" si="16"/>
        <v>352.53889787798511</v>
      </c>
      <c r="N76" s="5">
        <f t="shared" si="16"/>
        <v>460.70351724138072</v>
      </c>
      <c r="O76" s="5">
        <f t="shared" si="16"/>
        <v>467.52356100795896</v>
      </c>
      <c r="P76" s="5">
        <f t="shared" si="16"/>
        <v>568.54944297082397</v>
      </c>
      <c r="R76" s="5">
        <f>SUM(E76:P76)</f>
        <v>5192.6665941644724</v>
      </c>
    </row>
    <row r="77" spans="1:19" x14ac:dyDescent="0.25">
      <c r="A77" t="s">
        <v>34</v>
      </c>
      <c r="B77" t="s">
        <v>13</v>
      </c>
      <c r="D77" s="1">
        <v>8.8885896897745162E-2</v>
      </c>
      <c r="E77" s="6">
        <v>7.1615453981126418</v>
      </c>
      <c r="F77" s="6">
        <v>6.3627576421693091</v>
      </c>
      <c r="G77" s="6">
        <v>7.1197538865056185</v>
      </c>
      <c r="H77" s="6">
        <v>5.7643791805232931</v>
      </c>
      <c r="I77" s="6">
        <v>6.3276147801361304</v>
      </c>
      <c r="J77" s="6">
        <v>6.4235452954158889</v>
      </c>
      <c r="K77" s="6">
        <v>5.6266571536365113</v>
      </c>
      <c r="L77" s="6">
        <v>5.0349273415643392</v>
      </c>
      <c r="M77" s="6">
        <v>5.2533829704192341</v>
      </c>
      <c r="N77" s="6">
        <v>6.8652055885355674</v>
      </c>
      <c r="O77" s="6">
        <v>6.966834946307193</v>
      </c>
      <c r="P77" s="6">
        <v>8.4722791712420129</v>
      </c>
      <c r="Q77" s="6"/>
      <c r="R77" s="6">
        <f t="shared" si="12"/>
        <v>77.378883354567733</v>
      </c>
      <c r="S77" s="1">
        <f>+R77/$R$76</f>
        <v>1.4901569733270812E-2</v>
      </c>
    </row>
    <row r="78" spans="1:19" x14ac:dyDescent="0.25">
      <c r="A78" t="s">
        <v>34</v>
      </c>
      <c r="B78" t="s">
        <v>14</v>
      </c>
      <c r="D78" s="1">
        <v>4.2893896119358663E-2</v>
      </c>
      <c r="E78" s="6">
        <v>4.0314438475305039</v>
      </c>
      <c r="F78" s="6">
        <v>3.581782802998255</v>
      </c>
      <c r="G78" s="6">
        <v>4.0079181805157367</v>
      </c>
      <c r="H78" s="6">
        <v>3.244938025286821</v>
      </c>
      <c r="I78" s="6">
        <v>3.5619998557358379</v>
      </c>
      <c r="J78" s="6">
        <v>3.6160019550197346</v>
      </c>
      <c r="K78" s="6">
        <v>3.167410258988157</v>
      </c>
      <c r="L78" s="6">
        <v>2.8343082010290717</v>
      </c>
      <c r="M78" s="6">
        <v>2.9572832786062619</v>
      </c>
      <c r="N78" s="6">
        <v>3.8646254814257932</v>
      </c>
      <c r="O78" s="6">
        <v>3.9218356262117036</v>
      </c>
      <c r="P78" s="6">
        <v>4.7692943129936465</v>
      </c>
      <c r="Q78" s="6"/>
      <c r="R78" s="6">
        <f t="shared" si="12"/>
        <v>43.558841826341514</v>
      </c>
      <c r="S78" s="1">
        <f t="shared" ref="S78:S86" si="17">+R78/$R$76</f>
        <v>8.3885304470140663E-3</v>
      </c>
    </row>
    <row r="79" spans="1:19" x14ac:dyDescent="0.25">
      <c r="A79" t="s">
        <v>34</v>
      </c>
      <c r="B79" t="s">
        <v>15</v>
      </c>
      <c r="D79" s="1">
        <v>7.7145465611685921E-2</v>
      </c>
      <c r="E79" s="6">
        <v>7.6169771573101425E-2</v>
      </c>
      <c r="F79" s="6">
        <v>6.7673912436101658E-2</v>
      </c>
      <c r="G79" s="6">
        <v>7.5725279537396328E-2</v>
      </c>
      <c r="H79" s="6">
        <v>6.1309594652142259E-2</v>
      </c>
      <c r="I79" s="6">
        <v>6.7300135042440548E-2</v>
      </c>
      <c r="J79" s="6">
        <v>6.8320446306218169E-2</v>
      </c>
      <c r="K79" s="6">
        <v>5.9844791352659535E-2</v>
      </c>
      <c r="L79" s="6">
        <v>5.3551188210744123E-2</v>
      </c>
      <c r="M79" s="6">
        <v>5.5874669306475333E-2</v>
      </c>
      <c r="N79" s="6">
        <v>7.3017918956283442E-2</v>
      </c>
      <c r="O79" s="6">
        <v>7.409884277038449E-2</v>
      </c>
      <c r="P79" s="6">
        <v>9.0110658147488698E-2</v>
      </c>
      <c r="Q79" s="6"/>
      <c r="R79" s="6">
        <f t="shared" si="12"/>
        <v>0.82299720829143586</v>
      </c>
      <c r="S79" s="1">
        <f t="shared" si="17"/>
        <v>1.5849221076822485E-4</v>
      </c>
    </row>
    <row r="80" spans="1:19" x14ac:dyDescent="0.25">
      <c r="A80" t="s">
        <v>34</v>
      </c>
      <c r="B80" t="s">
        <v>16</v>
      </c>
      <c r="D80" s="1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/>
      <c r="R80" s="6">
        <f t="shared" si="12"/>
        <v>0</v>
      </c>
      <c r="S80" s="1">
        <f t="shared" si="17"/>
        <v>0</v>
      </c>
    </row>
    <row r="81" spans="1:19" x14ac:dyDescent="0.25">
      <c r="A81" t="s">
        <v>34</v>
      </c>
      <c r="B81" t="s">
        <v>17</v>
      </c>
      <c r="D81" s="1">
        <v>4.4494238156209988E-2</v>
      </c>
      <c r="E81" s="6">
        <v>0.4276615299781425</v>
      </c>
      <c r="F81" s="6">
        <v>0.37996082086519584</v>
      </c>
      <c r="G81" s="6">
        <v>0.42516589240267322</v>
      </c>
      <c r="H81" s="6">
        <v>0.3442278283073405</v>
      </c>
      <c r="I81" s="6">
        <v>0.37786221654036944</v>
      </c>
      <c r="J81" s="6">
        <v>0.38359083915678754</v>
      </c>
      <c r="K81" s="6">
        <v>0.33600356811545312</v>
      </c>
      <c r="L81" s="6">
        <v>0.30066760880824051</v>
      </c>
      <c r="M81" s="6">
        <v>0.31371298704364803</v>
      </c>
      <c r="N81" s="6">
        <v>0.40996519080663318</v>
      </c>
      <c r="O81" s="6">
        <v>0.416034127637888</v>
      </c>
      <c r="P81" s="6">
        <v>0.50593379939058769</v>
      </c>
      <c r="Q81" s="6"/>
      <c r="R81" s="6">
        <f t="shared" si="12"/>
        <v>4.6207864090529593</v>
      </c>
      <c r="S81" s="1">
        <f t="shared" si="17"/>
        <v>8.8986772504242944E-4</v>
      </c>
    </row>
    <row r="82" spans="1:19" x14ac:dyDescent="0.25">
      <c r="A82" t="s">
        <v>34</v>
      </c>
      <c r="B82" t="s">
        <v>18</v>
      </c>
      <c r="D82" s="1">
        <v>6.8603078830419745E-2</v>
      </c>
      <c r="E82" s="6">
        <v>176.37904042872194</v>
      </c>
      <c r="F82" s="6">
        <v>156.70599361167217</v>
      </c>
      <c r="G82" s="6">
        <v>175.34977281879304</v>
      </c>
      <c r="H82" s="6">
        <v>141.96875283314503</v>
      </c>
      <c r="I82" s="6">
        <v>155.84047312150471</v>
      </c>
      <c r="J82" s="6">
        <v>158.20311013520509</v>
      </c>
      <c r="K82" s="6">
        <v>138.57684820951576</v>
      </c>
      <c r="L82" s="6">
        <v>124.00335455074999</v>
      </c>
      <c r="M82" s="6">
        <v>129.3836170571964</v>
      </c>
      <c r="N82" s="6">
        <v>169.08059737649896</v>
      </c>
      <c r="O82" s="6">
        <v>171.58358906428057</v>
      </c>
      <c r="P82" s="6">
        <v>208.66061546740048</v>
      </c>
      <c r="Q82" s="6"/>
      <c r="R82" s="6">
        <f t="shared" si="12"/>
        <v>1905.7357646746841</v>
      </c>
      <c r="S82" s="1">
        <f t="shared" si="17"/>
        <v>0.36700522363911314</v>
      </c>
    </row>
    <row r="83" spans="1:19" x14ac:dyDescent="0.25">
      <c r="A83" t="s">
        <v>34</v>
      </c>
      <c r="B83" t="s">
        <v>19</v>
      </c>
      <c r="D83" s="1">
        <v>4.3092933386905008E-2</v>
      </c>
      <c r="E83" s="6">
        <v>283.29521635837818</v>
      </c>
      <c r="F83" s="6">
        <v>251.69690376455907</v>
      </c>
      <c r="G83" s="6">
        <v>281.64203472445661</v>
      </c>
      <c r="H83" s="6">
        <v>228.02634855159116</v>
      </c>
      <c r="I83" s="6">
        <v>250.30672829967048</v>
      </c>
      <c r="J83" s="6">
        <v>254.10153159571772</v>
      </c>
      <c r="K83" s="6">
        <v>222.57836362162232</v>
      </c>
      <c r="L83" s="6">
        <v>199.17081457768737</v>
      </c>
      <c r="M83" s="6">
        <v>207.81244584591374</v>
      </c>
      <c r="N83" s="6">
        <v>271.57265568147977</v>
      </c>
      <c r="O83" s="6">
        <v>275.59289283669813</v>
      </c>
      <c r="P83" s="6">
        <v>335.1450039677365</v>
      </c>
      <c r="Q83" s="6"/>
      <c r="R83" s="6">
        <f t="shared" si="12"/>
        <v>3060.9409398255111</v>
      </c>
      <c r="S83" s="1">
        <f t="shared" si="17"/>
        <v>0.58947380586024944</v>
      </c>
    </row>
    <row r="84" spans="1:19" x14ac:dyDescent="0.25">
      <c r="A84" t="s">
        <v>34</v>
      </c>
      <c r="B84" t="s">
        <v>20</v>
      </c>
      <c r="D84" s="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/>
      <c r="R84" s="6">
        <f t="shared" si="12"/>
        <v>0</v>
      </c>
      <c r="S84" s="1">
        <f t="shared" si="17"/>
        <v>0</v>
      </c>
    </row>
    <row r="85" spans="1:19" x14ac:dyDescent="0.25">
      <c r="A85" t="s">
        <v>34</v>
      </c>
      <c r="B85" t="s">
        <v>21</v>
      </c>
      <c r="D85" s="1">
        <v>3.8466994116954101E-5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/>
      <c r="R85" s="6">
        <f t="shared" si="12"/>
        <v>0</v>
      </c>
      <c r="S85" s="1">
        <f t="shared" si="17"/>
        <v>0</v>
      </c>
    </row>
    <row r="86" spans="1:19" x14ac:dyDescent="0.25">
      <c r="A86" t="s">
        <v>34</v>
      </c>
      <c r="B86" t="s">
        <v>22</v>
      </c>
      <c r="D86" s="1">
        <v>1.4285714285714286E-3</v>
      </c>
      <c r="E86" s="7">
        <v>9.2189226657069323</v>
      </c>
      <c r="F86" s="7">
        <v>8.1906582145319291</v>
      </c>
      <c r="G86" s="7">
        <v>9.1651252390105</v>
      </c>
      <c r="H86" s="7">
        <v>7.4203768777420924</v>
      </c>
      <c r="I86" s="7">
        <v>8.1454194693553834</v>
      </c>
      <c r="J86" s="7">
        <v>8.2689090169994692</v>
      </c>
      <c r="K86" s="7">
        <v>7.2430899034015743</v>
      </c>
      <c r="L86" s="7">
        <v>6.4813672481316251</v>
      </c>
      <c r="M86" s="7">
        <v>6.7625810694993431</v>
      </c>
      <c r="N86" s="7">
        <v>8.8374500036776809</v>
      </c>
      <c r="O86" s="7">
        <v>8.9682755640530978</v>
      </c>
      <c r="P86" s="7">
        <v>10.906205593913242</v>
      </c>
      <c r="Q86" s="7"/>
      <c r="R86" s="7">
        <f t="shared" si="12"/>
        <v>99.60838086602287</v>
      </c>
      <c r="S86" s="1">
        <f t="shared" si="17"/>
        <v>1.9182510384541718E-2</v>
      </c>
    </row>
    <row r="87" spans="1:19" x14ac:dyDescent="0.25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9" x14ac:dyDescent="0.25">
      <c r="A88" s="4" t="s">
        <v>35</v>
      </c>
      <c r="B88" s="8">
        <f>+E88/E$4</f>
        <v>0.10134748010610081</v>
      </c>
      <c r="C88" s="9"/>
      <c r="E88" s="5">
        <f t="shared" ref="E88:P88" si="18">+SUM(E89:E98)</f>
        <v>764.16000000000008</v>
      </c>
      <c r="F88" s="5">
        <f t="shared" si="18"/>
        <v>679.08</v>
      </c>
      <c r="G88" s="5">
        <f t="shared" si="18"/>
        <v>759.73</v>
      </c>
      <c r="H88" s="5">
        <f t="shared" si="18"/>
        <v>615.20999999999992</v>
      </c>
      <c r="I88" s="5">
        <f t="shared" si="18"/>
        <v>675.3</v>
      </c>
      <c r="J88" s="5">
        <f t="shared" si="18"/>
        <v>685.42</v>
      </c>
      <c r="K88" s="5">
        <f t="shared" si="18"/>
        <v>600.5</v>
      </c>
      <c r="L88" s="5">
        <f t="shared" si="18"/>
        <v>537.35</v>
      </c>
      <c r="M88" s="5">
        <f t="shared" si="18"/>
        <v>560.63</v>
      </c>
      <c r="N88" s="5">
        <f t="shared" si="18"/>
        <v>732.54</v>
      </c>
      <c r="O88" s="5">
        <f t="shared" si="18"/>
        <v>743.4</v>
      </c>
      <c r="P88" s="5">
        <f t="shared" si="18"/>
        <v>904.03</v>
      </c>
      <c r="R88" s="5">
        <f>SUM(E88:P88)</f>
        <v>8257.35</v>
      </c>
    </row>
    <row r="89" spans="1:19" x14ac:dyDescent="0.25">
      <c r="A89" t="s">
        <v>36</v>
      </c>
      <c r="B89" t="s">
        <v>13</v>
      </c>
      <c r="D89" s="1">
        <v>0.13511480006019186</v>
      </c>
      <c r="E89" s="6">
        <v>12.709999999999999</v>
      </c>
      <c r="F89" s="6">
        <v>11.35</v>
      </c>
      <c r="G89" s="6">
        <v>12.57</v>
      </c>
      <c r="H89" s="6">
        <v>10.27</v>
      </c>
      <c r="I89" s="6">
        <v>11.22</v>
      </c>
      <c r="J89" s="6">
        <v>11.35</v>
      </c>
      <c r="K89" s="6">
        <v>10</v>
      </c>
      <c r="L89" s="6">
        <v>8.92</v>
      </c>
      <c r="M89" s="6">
        <v>9.33</v>
      </c>
      <c r="N89" s="6">
        <v>12.17</v>
      </c>
      <c r="O89" s="6">
        <v>12.299999999999999</v>
      </c>
      <c r="P89" s="6">
        <v>15</v>
      </c>
      <c r="Q89" s="6"/>
      <c r="R89" s="6">
        <f t="shared" si="12"/>
        <v>137.19</v>
      </c>
      <c r="S89" s="1">
        <f>+R89/$R$88</f>
        <v>1.6614289087903505E-2</v>
      </c>
    </row>
    <row r="90" spans="1:19" x14ac:dyDescent="0.25">
      <c r="A90" t="s">
        <v>36</v>
      </c>
      <c r="B90" t="s">
        <v>14</v>
      </c>
      <c r="D90" s="1">
        <v>8.6772654201859048E-2</v>
      </c>
      <c r="E90" s="6">
        <v>9.4599999999999991</v>
      </c>
      <c r="F90" s="6">
        <v>8.42</v>
      </c>
      <c r="G90" s="6">
        <v>9.4599999999999991</v>
      </c>
      <c r="H90" s="6">
        <v>7.64</v>
      </c>
      <c r="I90" s="6">
        <v>8.42</v>
      </c>
      <c r="J90" s="6">
        <v>8.51</v>
      </c>
      <c r="K90" s="6">
        <v>7.47</v>
      </c>
      <c r="L90" s="6">
        <v>6.6899999999999995</v>
      </c>
      <c r="M90" s="6">
        <v>6.95</v>
      </c>
      <c r="N90" s="6">
        <v>9.1199999999999992</v>
      </c>
      <c r="O90" s="6">
        <v>9.2899999999999991</v>
      </c>
      <c r="P90" s="6">
        <v>11.29</v>
      </c>
      <c r="Q90" s="6"/>
      <c r="R90" s="6">
        <f t="shared" si="12"/>
        <v>102.72</v>
      </c>
      <c r="S90" s="1">
        <f t="shared" ref="S90:S98" si="19">+R90/$R$88</f>
        <v>1.2439826336536539E-2</v>
      </c>
    </row>
    <row r="91" spans="1:19" x14ac:dyDescent="0.25">
      <c r="A91" t="s">
        <v>36</v>
      </c>
      <c r="B91" t="s">
        <v>15</v>
      </c>
      <c r="D91" s="1">
        <v>0.18822276323797932</v>
      </c>
      <c r="E91" s="6">
        <v>0.19</v>
      </c>
      <c r="F91" s="6">
        <v>0.19</v>
      </c>
      <c r="G91" s="6">
        <v>0.19</v>
      </c>
      <c r="H91" s="6">
        <v>0.19</v>
      </c>
      <c r="I91" s="6">
        <v>0.19</v>
      </c>
      <c r="J91" s="6">
        <v>0.19</v>
      </c>
      <c r="K91" s="6">
        <v>0.19</v>
      </c>
      <c r="L91" s="6">
        <v>0.19</v>
      </c>
      <c r="M91" s="6">
        <v>0.19</v>
      </c>
      <c r="N91" s="6">
        <v>0.19</v>
      </c>
      <c r="O91" s="6">
        <v>0.19</v>
      </c>
      <c r="P91" s="6">
        <v>0.19</v>
      </c>
      <c r="Q91" s="6"/>
      <c r="R91" s="6">
        <f t="shared" si="12"/>
        <v>2.2799999999999998</v>
      </c>
      <c r="S91" s="1">
        <f t="shared" si="19"/>
        <v>2.7611764064742317E-4</v>
      </c>
    </row>
    <row r="92" spans="1:19" x14ac:dyDescent="0.25">
      <c r="A92" t="s">
        <v>36</v>
      </c>
      <c r="B92" t="s">
        <v>16</v>
      </c>
      <c r="D92" s="1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/>
      <c r="R92" s="6">
        <f t="shared" si="12"/>
        <v>0</v>
      </c>
      <c r="S92" s="1">
        <f t="shared" si="19"/>
        <v>0</v>
      </c>
    </row>
    <row r="93" spans="1:19" x14ac:dyDescent="0.25">
      <c r="A93" t="s">
        <v>36</v>
      </c>
      <c r="B93" t="s">
        <v>17</v>
      </c>
      <c r="D93" s="1">
        <v>7.7144686299615892E-2</v>
      </c>
      <c r="E93" s="6">
        <v>0.85</v>
      </c>
      <c r="F93" s="6">
        <v>0.78</v>
      </c>
      <c r="G93" s="6">
        <v>0.85</v>
      </c>
      <c r="H93" s="6">
        <v>0.7</v>
      </c>
      <c r="I93" s="6">
        <v>0.78</v>
      </c>
      <c r="J93" s="6">
        <v>0.78</v>
      </c>
      <c r="K93" s="6">
        <v>0.7</v>
      </c>
      <c r="L93" s="6">
        <v>0.62</v>
      </c>
      <c r="M93" s="6">
        <v>0.62</v>
      </c>
      <c r="N93" s="6">
        <v>0.78</v>
      </c>
      <c r="O93" s="6">
        <v>0.85</v>
      </c>
      <c r="P93" s="6">
        <v>1.01</v>
      </c>
      <c r="Q93" s="6"/>
      <c r="R93" s="6">
        <f t="shared" si="12"/>
        <v>9.32</v>
      </c>
      <c r="S93" s="1">
        <f t="shared" si="19"/>
        <v>1.1286914082605194E-3</v>
      </c>
    </row>
    <row r="94" spans="1:19" x14ac:dyDescent="0.25">
      <c r="A94" t="s">
        <v>36</v>
      </c>
      <c r="B94" t="s">
        <v>18</v>
      </c>
      <c r="D94" s="1">
        <v>9.7246976450204928E-2</v>
      </c>
      <c r="E94" s="6">
        <v>301.57</v>
      </c>
      <c r="F94" s="6">
        <v>267.94</v>
      </c>
      <c r="G94" s="6">
        <v>299.81</v>
      </c>
      <c r="H94" s="6">
        <v>242.73999999999998</v>
      </c>
      <c r="I94" s="6">
        <v>266.45999999999998</v>
      </c>
      <c r="J94" s="6">
        <v>270.5</v>
      </c>
      <c r="K94" s="6">
        <v>236.94</v>
      </c>
      <c r="L94" s="6">
        <v>212.01999999999998</v>
      </c>
      <c r="M94" s="6">
        <v>221.22</v>
      </c>
      <c r="N94" s="6">
        <v>289.08999999999997</v>
      </c>
      <c r="O94" s="6">
        <v>293.37</v>
      </c>
      <c r="P94" s="6">
        <v>356.77</v>
      </c>
      <c r="Q94" s="6"/>
      <c r="R94" s="6">
        <f t="shared" si="12"/>
        <v>3258.43</v>
      </c>
      <c r="S94" s="1">
        <f t="shared" si="19"/>
        <v>0.3946096507959575</v>
      </c>
    </row>
    <row r="95" spans="1:19" x14ac:dyDescent="0.25">
      <c r="A95" t="s">
        <v>36</v>
      </c>
      <c r="B95" t="s">
        <v>19</v>
      </c>
      <c r="D95" s="1">
        <v>8.6871253075045979E-2</v>
      </c>
      <c r="E95" s="6">
        <v>423.94</v>
      </c>
      <c r="F95" s="6">
        <v>376.68</v>
      </c>
      <c r="G95" s="6">
        <v>421.5</v>
      </c>
      <c r="H95" s="6">
        <v>341.24</v>
      </c>
      <c r="I95" s="6">
        <v>374.59</v>
      </c>
      <c r="J95" s="6">
        <v>380.24</v>
      </c>
      <c r="K95" s="6">
        <v>333.07</v>
      </c>
      <c r="L95" s="6">
        <v>298.06</v>
      </c>
      <c r="M95" s="6">
        <v>311</v>
      </c>
      <c r="N95" s="6">
        <v>406.39</v>
      </c>
      <c r="O95" s="6">
        <v>412.38</v>
      </c>
      <c r="P95" s="6">
        <v>501.51</v>
      </c>
      <c r="Q95" s="6"/>
      <c r="R95" s="6">
        <f t="shared" si="12"/>
        <v>4580.5999999999995</v>
      </c>
      <c r="S95" s="1">
        <f t="shared" si="19"/>
        <v>0.55473002839894148</v>
      </c>
    </row>
    <row r="96" spans="1:19" x14ac:dyDescent="0.25">
      <c r="A96" t="s">
        <v>36</v>
      </c>
      <c r="B96" t="s">
        <v>20</v>
      </c>
      <c r="D96" s="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/>
      <c r="R96" s="6">
        <f t="shared" si="12"/>
        <v>0</v>
      </c>
      <c r="S96" s="1">
        <f t="shared" si="19"/>
        <v>0</v>
      </c>
    </row>
    <row r="97" spans="1:19" x14ac:dyDescent="0.25">
      <c r="A97" t="s">
        <v>36</v>
      </c>
      <c r="B97" t="s">
        <v>21</v>
      </c>
      <c r="D97" s="1">
        <v>8.1742362498527443E-5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/>
      <c r="R97" s="6">
        <f t="shared" si="12"/>
        <v>0</v>
      </c>
      <c r="S97" s="1">
        <f t="shared" si="19"/>
        <v>0</v>
      </c>
    </row>
    <row r="98" spans="1:19" x14ac:dyDescent="0.25">
      <c r="A98" t="s">
        <v>36</v>
      </c>
      <c r="B98" t="s">
        <v>22</v>
      </c>
      <c r="D98" s="1">
        <v>1.4285714285714286E-3</v>
      </c>
      <c r="E98" s="7">
        <v>15.44</v>
      </c>
      <c r="F98" s="7">
        <v>13.72</v>
      </c>
      <c r="G98" s="7">
        <v>15.35</v>
      </c>
      <c r="H98" s="7">
        <v>12.43</v>
      </c>
      <c r="I98" s="7">
        <v>13.64</v>
      </c>
      <c r="J98" s="7">
        <v>13.85</v>
      </c>
      <c r="K98" s="7">
        <v>12.129999999999999</v>
      </c>
      <c r="L98" s="7">
        <v>10.85</v>
      </c>
      <c r="M98" s="7">
        <v>11.32</v>
      </c>
      <c r="N98" s="7">
        <v>14.799999999999999</v>
      </c>
      <c r="O98" s="7">
        <v>15.02</v>
      </c>
      <c r="P98" s="7">
        <v>18.260000000000002</v>
      </c>
      <c r="Q98" s="7"/>
      <c r="R98" s="7">
        <f t="shared" si="12"/>
        <v>166.81</v>
      </c>
      <c r="S98" s="1">
        <f t="shared" si="19"/>
        <v>2.0201396331752924E-2</v>
      </c>
    </row>
    <row r="99" spans="1:19" x14ac:dyDescent="0.25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9" x14ac:dyDescent="0.25">
      <c r="A100" s="4" t="s">
        <v>37</v>
      </c>
      <c r="B100" s="8">
        <f>+E100/E$4</f>
        <v>3.2699999999999847E-2</v>
      </c>
      <c r="C100" s="9"/>
      <c r="E100" s="5">
        <f t="shared" ref="E100:P100" si="20">+SUM(E101:E110)</f>
        <v>246.55799999999883</v>
      </c>
      <c r="F100" s="5">
        <f t="shared" si="20"/>
        <v>219.05729999999895</v>
      </c>
      <c r="G100" s="5">
        <f t="shared" si="20"/>
        <v>245.11919999999884</v>
      </c>
      <c r="H100" s="5">
        <f t="shared" si="20"/>
        <v>198.45629999999903</v>
      </c>
      <c r="I100" s="5">
        <f t="shared" si="20"/>
        <v>217.84739999999897</v>
      </c>
      <c r="J100" s="5">
        <f t="shared" si="20"/>
        <v>221.15009999999896</v>
      </c>
      <c r="K100" s="5">
        <f t="shared" si="20"/>
        <v>193.71479999999906</v>
      </c>
      <c r="L100" s="5">
        <f t="shared" si="20"/>
        <v>173.34269999999918</v>
      </c>
      <c r="M100" s="5">
        <f t="shared" si="20"/>
        <v>180.86369999999911</v>
      </c>
      <c r="N100" s="5">
        <f t="shared" si="20"/>
        <v>236.35559999999887</v>
      </c>
      <c r="O100" s="5">
        <f t="shared" si="20"/>
        <v>239.85449999999886</v>
      </c>
      <c r="P100" s="5">
        <f t="shared" si="20"/>
        <v>291.68399999999855</v>
      </c>
      <c r="R100" s="5">
        <f>SUM(E100:P100)</f>
        <v>2664.0035999999873</v>
      </c>
    </row>
    <row r="101" spans="1:19" x14ac:dyDescent="0.25">
      <c r="A101" t="s">
        <v>38</v>
      </c>
      <c r="B101" t="s">
        <v>13</v>
      </c>
      <c r="D101" s="1">
        <v>3.8332686535247823E-2</v>
      </c>
      <c r="E101" s="6">
        <v>3.6963581183027281</v>
      </c>
      <c r="F101" s="6">
        <v>3.2840720204920393</v>
      </c>
      <c r="G101" s="6">
        <v>3.6747878587264262</v>
      </c>
      <c r="H101" s="6">
        <v>2.975225122013164</v>
      </c>
      <c r="I101" s="6">
        <v>3.2659333931210579</v>
      </c>
      <c r="J101" s="6">
        <v>3.3154469435121157</v>
      </c>
      <c r="K101" s="6">
        <v>2.9041413120458039</v>
      </c>
      <c r="L101" s="6">
        <v>2.5987260457722496</v>
      </c>
      <c r="M101" s="6">
        <v>2.7114796753756485</v>
      </c>
      <c r="N101" s="6">
        <v>3.5434053685798568</v>
      </c>
      <c r="O101" s="6">
        <v>3.5958603180040467</v>
      </c>
      <c r="P101" s="6">
        <v>4.3728798959231208</v>
      </c>
      <c r="Q101" s="6"/>
      <c r="R101" s="6">
        <f t="shared" si="12"/>
        <v>39.938316071868257</v>
      </c>
      <c r="S101" s="1">
        <f>+R101/$R$100</f>
        <v>1.499184012809459E-2</v>
      </c>
    </row>
    <row r="102" spans="1:19" x14ac:dyDescent="0.25">
      <c r="A102" t="s">
        <v>38</v>
      </c>
      <c r="B102" t="s">
        <v>14</v>
      </c>
      <c r="D102" s="1">
        <v>3.051012273313114E-2</v>
      </c>
      <c r="E102" s="6">
        <v>3.4296888933366003</v>
      </c>
      <c r="F102" s="6">
        <v>3.0471466706182873</v>
      </c>
      <c r="G102" s="6">
        <v>3.4096747936937875</v>
      </c>
      <c r="H102" s="6">
        <v>2.7605811530052824</v>
      </c>
      <c r="I102" s="6">
        <v>3.0303166322822856</v>
      </c>
      <c r="J102" s="6">
        <v>3.0762580882805608</v>
      </c>
      <c r="K102" s="6">
        <v>2.6946255973641939</v>
      </c>
      <c r="L102" s="6">
        <v>2.4112441410579999</v>
      </c>
      <c r="M102" s="6">
        <v>2.5158632982817952</v>
      </c>
      <c r="N102" s="6">
        <v>3.287770732233017</v>
      </c>
      <c r="O102" s="6">
        <v>3.3364413836371307</v>
      </c>
      <c r="P102" s="6">
        <v>4.0574038366793728</v>
      </c>
      <c r="Q102" s="6"/>
      <c r="R102" s="6">
        <f t="shared" si="12"/>
        <v>37.057015220470312</v>
      </c>
      <c r="S102" s="1">
        <f t="shared" ref="S102:S110" si="21">+R102/$R$100</f>
        <v>1.3910272201009972E-2</v>
      </c>
    </row>
    <row r="103" spans="1:19" x14ac:dyDescent="0.25">
      <c r="A103" t="s">
        <v>38</v>
      </c>
      <c r="B103" t="s">
        <v>15</v>
      </c>
      <c r="D103" s="1">
        <v>5.5538648813146685E-2</v>
      </c>
      <c r="E103" s="6">
        <v>6.8328057642566498E-2</v>
      </c>
      <c r="F103" s="6">
        <v>6.0706851213203308E-2</v>
      </c>
      <c r="G103" s="6">
        <v>6.7929326271708029E-2</v>
      </c>
      <c r="H103" s="6">
        <v>5.4997742948638739E-2</v>
      </c>
      <c r="I103" s="6">
        <v>6.0371554378617777E-2</v>
      </c>
      <c r="J103" s="6">
        <v>6.1286824116270192E-2</v>
      </c>
      <c r="K103" s="6">
        <v>5.3683741840127842E-2</v>
      </c>
      <c r="L103" s="6">
        <v>4.803806811183621E-2</v>
      </c>
      <c r="M103" s="6">
        <v>5.0122345732232801E-2</v>
      </c>
      <c r="N103" s="6">
        <v>6.550068974011547E-2</v>
      </c>
      <c r="O103" s="6">
        <v>6.6470331937430405E-2</v>
      </c>
      <c r="P103" s="6">
        <v>8.0833723364946042E-2</v>
      </c>
      <c r="Q103" s="6"/>
      <c r="R103" s="6">
        <f t="shared" si="12"/>
        <v>0.73826925729769344</v>
      </c>
      <c r="S103" s="1">
        <f t="shared" si="21"/>
        <v>2.7712772508929677E-4</v>
      </c>
    </row>
    <row r="104" spans="1:19" x14ac:dyDescent="0.25">
      <c r="A104" t="s">
        <v>38</v>
      </c>
      <c r="B104" t="s">
        <v>16</v>
      </c>
      <c r="D104" s="1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/>
      <c r="R104" s="6">
        <f t="shared" si="12"/>
        <v>0</v>
      </c>
      <c r="S104" s="1">
        <f t="shared" si="21"/>
        <v>0</v>
      </c>
    </row>
    <row r="105" spans="1:19" x14ac:dyDescent="0.25">
      <c r="A105" t="s">
        <v>38</v>
      </c>
      <c r="B105" t="s">
        <v>17</v>
      </c>
      <c r="D105" s="1">
        <v>5.7618437900128036E-2</v>
      </c>
      <c r="E105" s="6">
        <v>0.66145355801206718</v>
      </c>
      <c r="F105" s="6">
        <v>0.58767604577225974</v>
      </c>
      <c r="G105" s="6">
        <v>0.65759361682472894</v>
      </c>
      <c r="H105" s="6">
        <v>0.532408706044461</v>
      </c>
      <c r="I105" s="6">
        <v>0.58443018613745246</v>
      </c>
      <c r="J105" s="6">
        <v>0.59329050568111552</v>
      </c>
      <c r="K105" s="6">
        <v>0.5196884453134597</v>
      </c>
      <c r="L105" s="6">
        <v>0.46503518713819209</v>
      </c>
      <c r="M105" s="6">
        <v>0.48521215243564242</v>
      </c>
      <c r="N105" s="6">
        <v>0.63408306595639552</v>
      </c>
      <c r="O105" s="6">
        <v>0.64346974111651367</v>
      </c>
      <c r="P105" s="6">
        <v>0.78251534979676907</v>
      </c>
      <c r="Q105" s="6"/>
      <c r="R105" s="6">
        <f t="shared" si="12"/>
        <v>7.1468565602290575</v>
      </c>
      <c r="S105" s="1">
        <f t="shared" si="21"/>
        <v>2.6827503387116636E-3</v>
      </c>
    </row>
    <row r="106" spans="1:19" x14ac:dyDescent="0.25">
      <c r="A106" t="s">
        <v>38</v>
      </c>
      <c r="B106" t="s">
        <v>18</v>
      </c>
      <c r="D106" s="1">
        <v>3.0856889607203213E-2</v>
      </c>
      <c r="E106" s="6">
        <v>81.632099866054546</v>
      </c>
      <c r="F106" s="6">
        <v>72.526981034840759</v>
      </c>
      <c r="G106" s="6">
        <v>81.155732174528495</v>
      </c>
      <c r="H106" s="6">
        <v>65.706261815263261</v>
      </c>
      <c r="I106" s="6">
        <v>72.12639911242114</v>
      </c>
      <c r="J106" s="6">
        <v>73.219879495242296</v>
      </c>
      <c r="K106" s="6">
        <v>64.136413740916055</v>
      </c>
      <c r="L106" s="6">
        <v>57.391480290444974</v>
      </c>
      <c r="M106" s="6">
        <v>59.881584132512948</v>
      </c>
      <c r="N106" s="6">
        <v>78.254219871597115</v>
      </c>
      <c r="O106" s="6">
        <v>79.412659485080908</v>
      </c>
      <c r="P106" s="6">
        <v>96.572722918462389</v>
      </c>
      <c r="Q106" s="6"/>
      <c r="R106" s="6">
        <f t="shared" si="12"/>
        <v>882.01643393736481</v>
      </c>
      <c r="S106" s="1">
        <f t="shared" si="21"/>
        <v>0.33108680256189182</v>
      </c>
    </row>
    <row r="107" spans="1:19" x14ac:dyDescent="0.25">
      <c r="A107" t="s">
        <v>38</v>
      </c>
      <c r="B107" t="s">
        <v>19</v>
      </c>
      <c r="D107" s="1">
        <v>2.9184581654395077E-2</v>
      </c>
      <c r="E107" s="6">
        <v>146.04363120458115</v>
      </c>
      <c r="F107" s="6">
        <v>129.75414926253171</v>
      </c>
      <c r="G107" s="6">
        <v>145.19138720285682</v>
      </c>
      <c r="H107" s="6">
        <v>117.55156469238766</v>
      </c>
      <c r="I107" s="6">
        <v>129.03748953380898</v>
      </c>
      <c r="J107" s="6">
        <v>130.99377690140349</v>
      </c>
      <c r="K107" s="6">
        <v>114.7430333230688</v>
      </c>
      <c r="L107" s="6">
        <v>102.67603302592634</v>
      </c>
      <c r="M107" s="6">
        <v>107.13094485312179</v>
      </c>
      <c r="N107" s="6">
        <v>140.00044646508124</v>
      </c>
      <c r="O107" s="6">
        <v>142.07294892381998</v>
      </c>
      <c r="P107" s="6">
        <v>172.77310216775379</v>
      </c>
      <c r="Q107" s="6"/>
      <c r="R107" s="6">
        <f t="shared" si="12"/>
        <v>1577.9685075563416</v>
      </c>
      <c r="S107" s="1">
        <f t="shared" si="21"/>
        <v>0.59232972040891729</v>
      </c>
    </row>
    <row r="108" spans="1:19" x14ac:dyDescent="0.25">
      <c r="A108" t="s">
        <v>38</v>
      </c>
      <c r="B108" t="s">
        <v>20</v>
      </c>
      <c r="D108" s="1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/>
      <c r="R108" s="6">
        <f t="shared" si="12"/>
        <v>0</v>
      </c>
      <c r="S108" s="1">
        <f t="shared" si="21"/>
        <v>0</v>
      </c>
    </row>
    <row r="109" spans="1:19" x14ac:dyDescent="0.25">
      <c r="A109" t="s">
        <v>38</v>
      </c>
      <c r="B109" t="s">
        <v>21</v>
      </c>
      <c r="D109" s="1">
        <v>3.6062806984644465E-6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/>
      <c r="R109" s="6">
        <f t="shared" si="12"/>
        <v>0</v>
      </c>
      <c r="S109" s="1">
        <f t="shared" si="21"/>
        <v>0</v>
      </c>
    </row>
    <row r="110" spans="1:19" x14ac:dyDescent="0.25">
      <c r="A110" t="s">
        <v>38</v>
      </c>
      <c r="B110" t="s">
        <v>22</v>
      </c>
      <c r="D110" s="1">
        <v>1.4285714285714286E-3</v>
      </c>
      <c r="E110" s="7">
        <v>11.026440302069165</v>
      </c>
      <c r="F110" s="7">
        <v>9.7965681145306807</v>
      </c>
      <c r="G110" s="7">
        <v>10.962095027096879</v>
      </c>
      <c r="H110" s="7">
        <v>8.8752607683365738</v>
      </c>
      <c r="I110" s="7">
        <v>9.7424595878494404</v>
      </c>
      <c r="J110" s="7">
        <v>9.8901612417630993</v>
      </c>
      <c r="K110" s="7">
        <v>8.6632138394506288</v>
      </c>
      <c r="L110" s="7">
        <v>7.7521432415475653</v>
      </c>
      <c r="M110" s="7">
        <v>8.0884935425390658</v>
      </c>
      <c r="N110" s="7">
        <v>10.57017380681113</v>
      </c>
      <c r="O110" s="7">
        <v>10.726649816402828</v>
      </c>
      <c r="P110" s="7">
        <v>13.044542108018163</v>
      </c>
      <c r="Q110" s="7"/>
      <c r="R110" s="7">
        <f t="shared" si="12"/>
        <v>119.13820139641523</v>
      </c>
      <c r="S110" s="1">
        <f t="shared" si="21"/>
        <v>4.4721486636285251E-2</v>
      </c>
    </row>
    <row r="111" spans="1:19" x14ac:dyDescent="0.25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9" x14ac:dyDescent="0.25">
      <c r="A112" s="4" t="s">
        <v>39</v>
      </c>
      <c r="B112" s="8">
        <f>+E112/E$4</f>
        <v>1.6799999999999999E-2</v>
      </c>
      <c r="C112" s="9"/>
      <c r="E112" s="5">
        <f t="shared" ref="E112:P112" si="22">+SUM(E113:E122)</f>
        <v>126.67199999999998</v>
      </c>
      <c r="F112" s="5">
        <f t="shared" si="22"/>
        <v>112.54319999999998</v>
      </c>
      <c r="G112" s="5">
        <f t="shared" si="22"/>
        <v>125.93279999999996</v>
      </c>
      <c r="H112" s="5">
        <f t="shared" si="22"/>
        <v>101.9592</v>
      </c>
      <c r="I112" s="5">
        <f t="shared" si="22"/>
        <v>111.9216</v>
      </c>
      <c r="J112" s="5">
        <f t="shared" si="22"/>
        <v>113.61839999999998</v>
      </c>
      <c r="K112" s="5">
        <f t="shared" si="22"/>
        <v>99.523199999999989</v>
      </c>
      <c r="L112" s="5">
        <f t="shared" si="22"/>
        <v>89.056799999999981</v>
      </c>
      <c r="M112" s="5">
        <f t="shared" si="22"/>
        <v>92.9208</v>
      </c>
      <c r="N112" s="5">
        <f t="shared" si="22"/>
        <v>121.43039999999996</v>
      </c>
      <c r="O112" s="5">
        <f t="shared" si="22"/>
        <v>123.22799999999998</v>
      </c>
      <c r="P112" s="5">
        <f t="shared" si="22"/>
        <v>149.85599999999997</v>
      </c>
      <c r="R112" s="5">
        <f>SUM(E112:P112)</f>
        <v>1368.6623999999999</v>
      </c>
    </row>
    <row r="113" spans="1:19" x14ac:dyDescent="0.25">
      <c r="A113" t="s">
        <v>40</v>
      </c>
      <c r="B113" t="s">
        <v>13</v>
      </c>
      <c r="D113" s="1">
        <v>3.59329336385164E-2</v>
      </c>
      <c r="E113" s="6">
        <v>4.3693614545454551</v>
      </c>
      <c r="F113" s="6">
        <v>3.8820096000000008</v>
      </c>
      <c r="G113" s="6">
        <v>4.3438638545454547</v>
      </c>
      <c r="H113" s="6">
        <v>3.5169303272727279</v>
      </c>
      <c r="I113" s="6">
        <v>3.860568436363637</v>
      </c>
      <c r="J113" s="6">
        <v>3.9190970181818185</v>
      </c>
      <c r="K113" s="6">
        <v>3.4329041454545455</v>
      </c>
      <c r="L113" s="6">
        <v>3.0718813090909096</v>
      </c>
      <c r="M113" s="6">
        <v>3.2051642181818187</v>
      </c>
      <c r="N113" s="6">
        <v>4.1885602909090913</v>
      </c>
      <c r="O113" s="6">
        <v>4.2505658181818191</v>
      </c>
      <c r="P113" s="6">
        <v>5.1690589090909098</v>
      </c>
      <c r="Q113" s="6"/>
      <c r="R113" s="6">
        <v>47.209965381818186</v>
      </c>
      <c r="S113" s="1">
        <f>+R113/$R$112</f>
        <v>3.44935064935065E-2</v>
      </c>
    </row>
    <row r="114" spans="1:19" x14ac:dyDescent="0.25">
      <c r="A114" t="s">
        <v>40</v>
      </c>
      <c r="B114" t="s">
        <v>14</v>
      </c>
      <c r="D114" s="1">
        <v>1.583226155181288E-2</v>
      </c>
      <c r="E114" s="6">
        <v>2.2480915041322311</v>
      </c>
      <c r="F114" s="6">
        <v>1.9973428363636361</v>
      </c>
      <c r="G114" s="6">
        <v>2.2349726677685946</v>
      </c>
      <c r="H114" s="6">
        <v>1.8095049520661155</v>
      </c>
      <c r="I114" s="6">
        <v>1.9863110876033057</v>
      </c>
      <c r="J114" s="6">
        <v>2.016424780165289</v>
      </c>
      <c r="K114" s="6">
        <v>1.7662724231404956</v>
      </c>
      <c r="L114" s="6">
        <v>1.5805216264462807</v>
      </c>
      <c r="M114" s="6">
        <v>1.649097361983471</v>
      </c>
      <c r="N114" s="6">
        <v>2.1550670280991731</v>
      </c>
      <c r="O114" s="6">
        <v>2.1869696528925617</v>
      </c>
      <c r="P114" s="6">
        <v>2.6595459173553717</v>
      </c>
      <c r="Q114" s="6"/>
      <c r="R114" s="6">
        <v>24.290121838016525</v>
      </c>
      <c r="S114" s="1">
        <f t="shared" ref="S114:S122" si="23">+R114/$R$112</f>
        <v>1.7747343565525382E-2</v>
      </c>
    </row>
    <row r="115" spans="1:19" x14ac:dyDescent="0.25">
      <c r="A115" t="s">
        <v>40</v>
      </c>
      <c r="B115" t="s">
        <v>15</v>
      </c>
      <c r="D115" s="1">
        <v>1.4759586122945827E-2</v>
      </c>
      <c r="E115" s="6">
        <v>2.8714314049586773E-2</v>
      </c>
      <c r="F115" s="6">
        <v>2.5511563636363633E-2</v>
      </c>
      <c r="G115" s="6">
        <v>2.8546750413223132E-2</v>
      </c>
      <c r="H115" s="6">
        <v>2.3112357024793383E-2</v>
      </c>
      <c r="I115" s="6">
        <v>2.5370657851239663E-2</v>
      </c>
      <c r="J115" s="6">
        <v>2.5755292561983466E-2</v>
      </c>
      <c r="K115" s="6">
        <v>2.2560158677685946E-2</v>
      </c>
      <c r="L115" s="6">
        <v>2.0187609917355367E-2</v>
      </c>
      <c r="M115" s="6">
        <v>2.1063510743801649E-2</v>
      </c>
      <c r="N115" s="6">
        <v>2.7526135537190077E-2</v>
      </c>
      <c r="O115" s="6">
        <v>2.7933619834710738E-2</v>
      </c>
      <c r="P115" s="6">
        <v>3.3969719008264454E-2</v>
      </c>
      <c r="Q115" s="6"/>
      <c r="R115" s="6">
        <v>0.31025168925619823</v>
      </c>
      <c r="S115" s="1">
        <f t="shared" si="23"/>
        <v>2.2668240850059023E-4</v>
      </c>
    </row>
    <row r="116" spans="1:19" x14ac:dyDescent="0.25">
      <c r="A116" t="s">
        <v>40</v>
      </c>
      <c r="B116" t="s">
        <v>16</v>
      </c>
      <c r="D116" s="1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/>
      <c r="R116" s="6">
        <v>0</v>
      </c>
      <c r="S116" s="1">
        <f t="shared" si="23"/>
        <v>0</v>
      </c>
    </row>
    <row r="117" spans="1:19" x14ac:dyDescent="0.25">
      <c r="A117" t="s">
        <v>40</v>
      </c>
      <c r="B117" t="s">
        <v>17</v>
      </c>
      <c r="D117" s="1">
        <v>1.6005121638924453E-3</v>
      </c>
      <c r="E117" s="6">
        <v>2.991074380165289E-2</v>
      </c>
      <c r="F117" s="6">
        <v>2.6574545454545451E-2</v>
      </c>
      <c r="G117" s="6">
        <v>2.9736198347107431E-2</v>
      </c>
      <c r="H117" s="6">
        <v>2.4075371900826443E-2</v>
      </c>
      <c r="I117" s="6">
        <v>2.6427768595041319E-2</v>
      </c>
      <c r="J117" s="6">
        <v>2.6828429752066112E-2</v>
      </c>
      <c r="K117" s="6">
        <v>2.3500165289256195E-2</v>
      </c>
      <c r="L117" s="6">
        <v>2.102876033057851E-2</v>
      </c>
      <c r="M117" s="6">
        <v>2.1941157024793385E-2</v>
      </c>
      <c r="N117" s="6">
        <v>2.8673057851239664E-2</v>
      </c>
      <c r="O117" s="6">
        <v>2.909752066115702E-2</v>
      </c>
      <c r="P117" s="6">
        <v>3.5385123966942142E-2</v>
      </c>
      <c r="Q117" s="6"/>
      <c r="R117" s="6">
        <v>0.3231788429752066</v>
      </c>
      <c r="S117" s="1">
        <f t="shared" si="23"/>
        <v>2.3612750885478159E-4</v>
      </c>
    </row>
    <row r="118" spans="1:19" x14ac:dyDescent="0.25">
      <c r="A118" t="s">
        <v>40</v>
      </c>
      <c r="B118" t="s">
        <v>18</v>
      </c>
      <c r="D118" s="1">
        <v>2.5345842578947477E-2</v>
      </c>
      <c r="E118" s="6">
        <v>46.755278280991739</v>
      </c>
      <c r="F118" s="6">
        <v>41.540266472727275</v>
      </c>
      <c r="G118" s="6">
        <v>46.482435808264455</v>
      </c>
      <c r="H118" s="6">
        <v>37.63365834049587</v>
      </c>
      <c r="I118" s="6">
        <v>41.310830757024796</v>
      </c>
      <c r="J118" s="6">
        <v>41.93712825123967</v>
      </c>
      <c r="K118" s="6">
        <v>36.734518373553719</v>
      </c>
      <c r="L118" s="6">
        <v>32.871316998347105</v>
      </c>
      <c r="M118" s="6">
        <v>34.297539014876037</v>
      </c>
      <c r="N118" s="6">
        <v>44.820577110743798</v>
      </c>
      <c r="O118" s="6">
        <v>45.48408039669421</v>
      </c>
      <c r="P118" s="6">
        <v>55.312610380165289</v>
      </c>
      <c r="Q118" s="6"/>
      <c r="R118" s="6">
        <v>505.18024018512392</v>
      </c>
      <c r="S118" s="1">
        <f t="shared" si="23"/>
        <v>0.36910507674144039</v>
      </c>
    </row>
    <row r="119" spans="1:19" x14ac:dyDescent="0.25">
      <c r="A119" t="s">
        <v>40</v>
      </c>
      <c r="B119" t="s">
        <v>19</v>
      </c>
      <c r="D119" s="1">
        <v>9.4051005561989979E-3</v>
      </c>
      <c r="E119" s="6">
        <v>59.339326413223127</v>
      </c>
      <c r="F119" s="6">
        <v>52.720709236363625</v>
      </c>
      <c r="G119" s="6">
        <v>58.993049176859486</v>
      </c>
      <c r="H119" s="6">
        <v>47.762648806611558</v>
      </c>
      <c r="I119" s="6">
        <v>52.429521560330564</v>
      </c>
      <c r="J119" s="6">
        <v>53.224385216528908</v>
      </c>
      <c r="K119" s="6">
        <v>46.621507914049573</v>
      </c>
      <c r="L119" s="6">
        <v>41.718537044628086</v>
      </c>
      <c r="M119" s="6">
        <v>43.528622598347098</v>
      </c>
      <c r="N119" s="6">
        <v>56.883906009917339</v>
      </c>
      <c r="O119" s="6">
        <v>57.725989289256184</v>
      </c>
      <c r="P119" s="6">
        <v>70.199839735537168</v>
      </c>
      <c r="Q119" s="6"/>
      <c r="R119" s="6">
        <v>641.1480430016527</v>
      </c>
      <c r="S119" s="1">
        <f t="shared" si="23"/>
        <v>0.46844864226682398</v>
      </c>
    </row>
    <row r="120" spans="1:19" x14ac:dyDescent="0.25">
      <c r="A120" t="s">
        <v>40</v>
      </c>
      <c r="B120" t="s">
        <v>20</v>
      </c>
      <c r="D120" s="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/>
      <c r="R120" s="6">
        <v>0</v>
      </c>
      <c r="S120" s="1">
        <f t="shared" si="23"/>
        <v>0</v>
      </c>
    </row>
    <row r="121" spans="1:19" x14ac:dyDescent="0.25">
      <c r="A121" t="s">
        <v>40</v>
      </c>
      <c r="B121" t="s">
        <v>21</v>
      </c>
      <c r="D121" s="1">
        <v>2.3080196470172461E-4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/>
      <c r="R121" s="6">
        <v>0</v>
      </c>
      <c r="S121" s="1">
        <f t="shared" si="23"/>
        <v>0</v>
      </c>
    </row>
    <row r="122" spans="1:19" x14ac:dyDescent="0.25">
      <c r="A122" t="s">
        <v>40</v>
      </c>
      <c r="B122" t="s">
        <v>22</v>
      </c>
      <c r="D122" s="1">
        <v>1.4285714285714286E-3</v>
      </c>
      <c r="E122" s="7">
        <v>13.901317289256196</v>
      </c>
      <c r="F122" s="7">
        <v>12.350785745454544</v>
      </c>
      <c r="G122" s="7">
        <v>13.820195543801649</v>
      </c>
      <c r="H122" s="7">
        <v>11.189269844628097</v>
      </c>
      <c r="I122" s="7">
        <v>12.282569732231403</v>
      </c>
      <c r="J122" s="7">
        <v>12.468781011570247</v>
      </c>
      <c r="K122" s="7">
        <v>10.921936819834709</v>
      </c>
      <c r="L122" s="7">
        <v>9.7733266512396675</v>
      </c>
      <c r="M122" s="7">
        <v>10.197372138842974</v>
      </c>
      <c r="N122" s="7">
        <v>13.326090366942147</v>
      </c>
      <c r="O122" s="7">
        <v>13.523363702479337</v>
      </c>
      <c r="P122" s="7">
        <v>16.445590214876031</v>
      </c>
      <c r="Q122" s="7"/>
      <c r="R122" s="7">
        <v>150.20059906115702</v>
      </c>
      <c r="S122" s="1">
        <f t="shared" si="23"/>
        <v>0.10974262101534829</v>
      </c>
    </row>
    <row r="123" spans="1:19" x14ac:dyDescent="0.25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9" x14ac:dyDescent="0.25">
      <c r="A124" s="4" t="s">
        <v>41</v>
      </c>
      <c r="B124" s="8">
        <f>+E124/E$4</f>
        <v>2.5999999999999999E-2</v>
      </c>
      <c r="C124" s="9"/>
      <c r="E124" s="5">
        <f t="shared" ref="E124:P124" si="24">+SUM(E125:E134)</f>
        <v>196.04</v>
      </c>
      <c r="F124" s="5">
        <f t="shared" si="24"/>
        <v>174.17399999999998</v>
      </c>
      <c r="G124" s="5">
        <f t="shared" si="24"/>
        <v>194.89599999999996</v>
      </c>
      <c r="H124" s="5">
        <f t="shared" si="24"/>
        <v>157.79399999999998</v>
      </c>
      <c r="I124" s="5">
        <f t="shared" si="24"/>
        <v>173.21199999999999</v>
      </c>
      <c r="J124" s="5">
        <f t="shared" si="24"/>
        <v>175.83799999999997</v>
      </c>
      <c r="K124" s="5">
        <f t="shared" si="24"/>
        <v>154.02399999999997</v>
      </c>
      <c r="L124" s="5">
        <f t="shared" si="24"/>
        <v>137.82600000000002</v>
      </c>
      <c r="M124" s="5">
        <f t="shared" si="24"/>
        <v>143.80599999999998</v>
      </c>
      <c r="N124" s="5">
        <f t="shared" si="24"/>
        <v>187.928</v>
      </c>
      <c r="O124" s="5">
        <f t="shared" si="24"/>
        <v>190.70999999999998</v>
      </c>
      <c r="P124" s="5">
        <f t="shared" si="24"/>
        <v>231.92</v>
      </c>
      <c r="R124" s="5">
        <f t="shared" ref="R124:R134" si="25">SUM(E124:P124)</f>
        <v>2118.1679999999997</v>
      </c>
    </row>
    <row r="125" spans="1:19" x14ac:dyDescent="0.25">
      <c r="A125" t="s">
        <v>42</v>
      </c>
      <c r="B125" t="s">
        <v>13</v>
      </c>
      <c r="D125" s="1">
        <v>3.5521094857559193E-2</v>
      </c>
      <c r="E125" s="6">
        <v>3.9768793959686293</v>
      </c>
      <c r="F125" s="6">
        <v>3.533304386418282</v>
      </c>
      <c r="G125" s="6">
        <v>3.9536721421990513</v>
      </c>
      <c r="H125" s="6">
        <v>3.201018707444776</v>
      </c>
      <c r="I125" s="6">
        <v>3.5137891957484095</v>
      </c>
      <c r="J125" s="6">
        <v>3.5670603919013053</v>
      </c>
      <c r="K125" s="6">
        <v>3.1245402575223027</v>
      </c>
      <c r="L125" s="6">
        <v>2.7959466416485017</v>
      </c>
      <c r="M125" s="6">
        <v>2.9172572863531152</v>
      </c>
      <c r="N125" s="6">
        <v>3.8123188692388932</v>
      </c>
      <c r="O125" s="6">
        <v>3.8687546909058215</v>
      </c>
      <c r="P125" s="6">
        <v>4.7047432641963098</v>
      </c>
      <c r="Q125" s="6"/>
      <c r="R125" s="6">
        <f t="shared" si="25"/>
        <v>42.969285229545399</v>
      </c>
      <c r="S125" s="1">
        <f>+R125/$R$124</f>
        <v>2.0286060987393544E-2</v>
      </c>
    </row>
    <row r="126" spans="1:19" x14ac:dyDescent="0.25">
      <c r="A126" t="s">
        <v>42</v>
      </c>
      <c r="B126" t="s">
        <v>14</v>
      </c>
      <c r="D126" s="1">
        <v>4.3154202085254459E-2</v>
      </c>
      <c r="E126" s="6">
        <v>5.6299660681782422</v>
      </c>
      <c r="F126" s="6">
        <v>5.002008314419899</v>
      </c>
      <c r="G126" s="6">
        <v>5.5971121547830371</v>
      </c>
      <c r="H126" s="6">
        <v>4.5316000089885611</v>
      </c>
      <c r="I126" s="6">
        <v>4.974381159973932</v>
      </c>
      <c r="J126" s="6">
        <v>5.0497958248129251</v>
      </c>
      <c r="K126" s="6">
        <v>4.4233314307543647</v>
      </c>
      <c r="L126" s="6">
        <v>3.9581498842722627</v>
      </c>
      <c r="M126" s="6">
        <v>4.1298862497471953</v>
      </c>
      <c r="N126" s="6">
        <v>5.3970019550122457</v>
      </c>
      <c r="O126" s="6">
        <v>5.4768966989505836</v>
      </c>
      <c r="P126" s="6">
        <v>6.6603842610278408</v>
      </c>
      <c r="Q126" s="6"/>
      <c r="R126" s="6">
        <f t="shared" si="25"/>
        <v>60.830514010921085</v>
      </c>
      <c r="S126" s="1">
        <f t="shared" ref="S126:S134" si="26">+R126/$R$124</f>
        <v>2.8718455765038984E-2</v>
      </c>
    </row>
    <row r="127" spans="1:19" x14ac:dyDescent="0.25">
      <c r="A127" t="s">
        <v>42</v>
      </c>
      <c r="B127" t="s">
        <v>15</v>
      </c>
      <c r="D127" s="1">
        <v>1.7346317711503346E-2</v>
      </c>
      <c r="E127" s="6">
        <v>2.64317655783016E-2</v>
      </c>
      <c r="F127" s="6">
        <v>2.3483607109952575E-2</v>
      </c>
      <c r="G127" s="6">
        <v>2.6277521853441486E-2</v>
      </c>
      <c r="H127" s="6">
        <v>2.1275117413091831E-2</v>
      </c>
      <c r="I127" s="6">
        <v>2.3353902159502025E-2</v>
      </c>
      <c r="J127" s="6">
        <v>2.3707961618840017E-2</v>
      </c>
      <c r="K127" s="6">
        <v>2.0766814228893725E-2</v>
      </c>
      <c r="L127" s="6">
        <v>1.8582863306442546E-2</v>
      </c>
      <c r="M127" s="6">
        <v>1.9389137322756784E-2</v>
      </c>
      <c r="N127" s="6">
        <v>2.5338037347475331E-2</v>
      </c>
      <c r="O127" s="6">
        <v>2.5713130042021515E-2</v>
      </c>
      <c r="P127" s="6">
        <v>3.1269409676187042E-2</v>
      </c>
      <c r="Q127" s="6"/>
      <c r="R127" s="6">
        <f t="shared" si="25"/>
        <v>0.28558926765690645</v>
      </c>
      <c r="S127" s="1">
        <f t="shared" si="26"/>
        <v>1.3482843082177924E-4</v>
      </c>
    </row>
    <row r="128" spans="1:19" x14ac:dyDescent="0.25">
      <c r="A128" t="s">
        <v>42</v>
      </c>
      <c r="B128" t="s">
        <v>16</v>
      </c>
      <c r="D128" s="1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/>
      <c r="R128" s="6">
        <f t="shared" si="25"/>
        <v>0</v>
      </c>
      <c r="S128" s="1">
        <f t="shared" si="26"/>
        <v>0</v>
      </c>
    </row>
    <row r="129" spans="1:19" x14ac:dyDescent="0.25">
      <c r="A129" t="s">
        <v>42</v>
      </c>
      <c r="B129" t="s">
        <v>17</v>
      </c>
      <c r="D129" s="1">
        <v>2.6248399487836107E-2</v>
      </c>
      <c r="E129" s="6">
        <v>0.35242354104402146</v>
      </c>
      <c r="F129" s="6">
        <v>0.31311476146603445</v>
      </c>
      <c r="G129" s="6">
        <v>0.35036695804588658</v>
      </c>
      <c r="H129" s="6">
        <v>0.28366823217455783</v>
      </c>
      <c r="I129" s="6">
        <v>0.31138536212669377</v>
      </c>
      <c r="J129" s="6">
        <v>0.31610615491786698</v>
      </c>
      <c r="K129" s="6">
        <v>0.2768908563852498</v>
      </c>
      <c r="L129" s="6">
        <v>0.24777151075256734</v>
      </c>
      <c r="M129" s="6">
        <v>0.25852183097009052</v>
      </c>
      <c r="N129" s="6">
        <v>0.3378404979663378</v>
      </c>
      <c r="O129" s="6">
        <v>0.34284173389362033</v>
      </c>
      <c r="P129" s="6">
        <v>0.41692546234916067</v>
      </c>
      <c r="Q129" s="6"/>
      <c r="R129" s="6">
        <f t="shared" si="25"/>
        <v>3.8078569020920878</v>
      </c>
      <c r="S129" s="1">
        <f t="shared" si="26"/>
        <v>1.7977124109570574E-3</v>
      </c>
    </row>
    <row r="130" spans="1:19" x14ac:dyDescent="0.25">
      <c r="A130" t="s">
        <v>42</v>
      </c>
      <c r="B130" t="s">
        <v>18</v>
      </c>
      <c r="D130" s="1">
        <v>2.7438090215728565E-2</v>
      </c>
      <c r="E130" s="6">
        <v>67.35364531134131</v>
      </c>
      <c r="F130" s="6">
        <v>59.841123334307085</v>
      </c>
      <c r="G130" s="6">
        <v>66.960600166288387</v>
      </c>
      <c r="H130" s="6">
        <v>54.213431484685735</v>
      </c>
      <c r="I130" s="6">
        <v>59.510608098694405</v>
      </c>
      <c r="J130" s="6">
        <v>60.41282536347498</v>
      </c>
      <c r="K130" s="6">
        <v>52.918169074852251</v>
      </c>
      <c r="L130" s="6">
        <v>47.353007134671131</v>
      </c>
      <c r="M130" s="6">
        <v>49.407561301993205</v>
      </c>
      <c r="N130" s="6">
        <v>64.566597919147881</v>
      </c>
      <c r="O130" s="6">
        <v>65.52241224916294</v>
      </c>
      <c r="P130" s="6">
        <v>79.680970315273811</v>
      </c>
      <c r="Q130" s="6"/>
      <c r="R130" s="6">
        <f t="shared" si="25"/>
        <v>727.74095175389311</v>
      </c>
      <c r="S130" s="1">
        <f t="shared" si="26"/>
        <v>0.34357093099031483</v>
      </c>
    </row>
    <row r="131" spans="1:19" x14ac:dyDescent="0.25">
      <c r="A131" t="s">
        <v>42</v>
      </c>
      <c r="B131" t="s">
        <v>19</v>
      </c>
      <c r="D131" s="1">
        <v>1.8236142514897649E-2</v>
      </c>
      <c r="E131" s="6">
        <v>105.90437540729421</v>
      </c>
      <c r="F131" s="6">
        <v>94.091964304172919</v>
      </c>
      <c r="G131" s="6">
        <v>105.28636578953281</v>
      </c>
      <c r="H131" s="6">
        <v>85.243190231680174</v>
      </c>
      <c r="I131" s="6">
        <v>93.572274398328119</v>
      </c>
      <c r="J131" s="6">
        <v>94.990887384553147</v>
      </c>
      <c r="K131" s="6">
        <v>83.206567627693758</v>
      </c>
      <c r="L131" s="6">
        <v>74.456113267117587</v>
      </c>
      <c r="M131" s="6">
        <v>77.686618087233981</v>
      </c>
      <c r="N131" s="6">
        <v>101.52212539044065</v>
      </c>
      <c r="O131" s="6">
        <v>103.02501241545131</v>
      </c>
      <c r="P131" s="6">
        <v>125.28740432799262</v>
      </c>
      <c r="Q131" s="6"/>
      <c r="R131" s="6">
        <f t="shared" si="25"/>
        <v>1144.2728986314914</v>
      </c>
      <c r="S131" s="1">
        <f t="shared" si="26"/>
        <v>0.54021819734387999</v>
      </c>
    </row>
    <row r="132" spans="1:19" x14ac:dyDescent="0.25">
      <c r="A132" t="s">
        <v>42</v>
      </c>
      <c r="B132" t="s">
        <v>20</v>
      </c>
      <c r="D132" s="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/>
      <c r="R132" s="6">
        <f t="shared" si="25"/>
        <v>0</v>
      </c>
      <c r="S132" s="1">
        <f t="shared" si="26"/>
        <v>0</v>
      </c>
    </row>
    <row r="133" spans="1:19" x14ac:dyDescent="0.25">
      <c r="A133" t="s">
        <v>42</v>
      </c>
      <c r="B133" t="s">
        <v>21</v>
      </c>
      <c r="D133" s="1">
        <v>5.6618606965891827E-4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/>
      <c r="R133" s="6">
        <f t="shared" si="25"/>
        <v>0</v>
      </c>
      <c r="S133" s="1">
        <f t="shared" si="26"/>
        <v>0</v>
      </c>
    </row>
    <row r="134" spans="1:19" x14ac:dyDescent="0.25">
      <c r="A134" t="s">
        <v>42</v>
      </c>
      <c r="B134" t="s">
        <v>22</v>
      </c>
      <c r="D134" s="1">
        <v>1.4285714285714286E-3</v>
      </c>
      <c r="E134" s="7">
        <v>12.796278510595265</v>
      </c>
      <c r="F134" s="7">
        <v>11.369001292105791</v>
      </c>
      <c r="G134" s="7">
        <v>12.721605267297361</v>
      </c>
      <c r="H134" s="7">
        <v>10.299816217613085</v>
      </c>
      <c r="I134" s="7">
        <v>11.306207882968918</v>
      </c>
      <c r="J134" s="7">
        <v>11.477616918720924</v>
      </c>
      <c r="K134" s="7">
        <v>10.053733938563177</v>
      </c>
      <c r="L134" s="7">
        <v>8.9964286982314974</v>
      </c>
      <c r="M134" s="7">
        <v>9.3867661063796284</v>
      </c>
      <c r="N134" s="7">
        <v>12.266777330846494</v>
      </c>
      <c r="O134" s="7">
        <v>12.448369081593668</v>
      </c>
      <c r="P134" s="7">
        <v>15.138302959484053</v>
      </c>
      <c r="Q134" s="7"/>
      <c r="R134" s="7">
        <f t="shared" si="25"/>
        <v>138.26090420439988</v>
      </c>
      <c r="S134" s="1">
        <f t="shared" si="26"/>
        <v>6.5273814071593897E-2</v>
      </c>
    </row>
    <row r="135" spans="1:19" x14ac:dyDescent="0.25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9" x14ac:dyDescent="0.25">
      <c r="A136" s="4" t="s">
        <v>43</v>
      </c>
      <c r="B136" s="8">
        <f>+E136/E$4</f>
        <v>4.3592838196286475E-2</v>
      </c>
      <c r="C136" s="9"/>
      <c r="E136" s="5">
        <f t="shared" ref="E136:P136" si="27">+SUM(E137:E146)</f>
        <v>328.69</v>
      </c>
      <c r="F136" s="5">
        <f t="shared" si="27"/>
        <v>292.07</v>
      </c>
      <c r="G136" s="5">
        <f t="shared" si="27"/>
        <v>326.80000000000007</v>
      </c>
      <c r="H136" s="5">
        <f t="shared" si="27"/>
        <v>264.58</v>
      </c>
      <c r="I136" s="5">
        <f t="shared" si="27"/>
        <v>290.43</v>
      </c>
      <c r="J136" s="5">
        <f t="shared" si="27"/>
        <v>294.78999999999996</v>
      </c>
      <c r="K136" s="5">
        <f t="shared" si="27"/>
        <v>258.26</v>
      </c>
      <c r="L136" s="5">
        <f t="shared" si="27"/>
        <v>231.14</v>
      </c>
      <c r="M136" s="5">
        <f t="shared" si="27"/>
        <v>241.15</v>
      </c>
      <c r="N136" s="5">
        <f t="shared" si="27"/>
        <v>315.08</v>
      </c>
      <c r="O136" s="5">
        <f t="shared" si="27"/>
        <v>319.77999999999997</v>
      </c>
      <c r="P136" s="5">
        <f t="shared" si="27"/>
        <v>388.58000000000004</v>
      </c>
      <c r="R136" s="5">
        <f t="shared" ref="R136:R146" si="28">SUM(E136:P136)</f>
        <v>3551.3499999999995</v>
      </c>
    </row>
    <row r="137" spans="1:19" x14ac:dyDescent="0.25">
      <c r="A137" t="s">
        <v>44</v>
      </c>
      <c r="B137" t="s">
        <v>13</v>
      </c>
      <c r="D137" s="1">
        <v>3.9496923089107634E-2</v>
      </c>
      <c r="E137" s="6">
        <v>3.7199999999999998</v>
      </c>
      <c r="F137" s="6">
        <v>3.32</v>
      </c>
      <c r="G137" s="6">
        <v>3.6799999999999997</v>
      </c>
      <c r="H137" s="6">
        <v>3.01</v>
      </c>
      <c r="I137" s="6">
        <v>3.28</v>
      </c>
      <c r="J137" s="6">
        <v>3.32</v>
      </c>
      <c r="K137" s="6">
        <v>2.9299999999999997</v>
      </c>
      <c r="L137" s="6">
        <v>2.61</v>
      </c>
      <c r="M137" s="6">
        <v>2.73</v>
      </c>
      <c r="N137" s="6">
        <v>3.5599999999999996</v>
      </c>
      <c r="O137" s="6">
        <v>3.5999999999999996</v>
      </c>
      <c r="P137" s="6">
        <v>4.3899999999999997</v>
      </c>
      <c r="Q137" s="6"/>
      <c r="R137" s="6">
        <f t="shared" si="28"/>
        <v>40.15</v>
      </c>
      <c r="S137" s="1">
        <f>+R137/$R$136</f>
        <v>1.1305559857518972E-2</v>
      </c>
    </row>
    <row r="138" spans="1:19" x14ac:dyDescent="0.25">
      <c r="A138" t="s">
        <v>44</v>
      </c>
      <c r="B138" t="s">
        <v>14</v>
      </c>
      <c r="D138" s="1">
        <v>4.174628633927871E-2</v>
      </c>
      <c r="E138" s="6">
        <v>4.5599999999999996</v>
      </c>
      <c r="F138" s="6">
        <v>4.05</v>
      </c>
      <c r="G138" s="6">
        <v>4.5599999999999996</v>
      </c>
      <c r="H138" s="6">
        <v>3.6799999999999997</v>
      </c>
      <c r="I138" s="6">
        <v>4.05</v>
      </c>
      <c r="J138" s="6">
        <v>4.0999999999999996</v>
      </c>
      <c r="K138" s="6">
        <v>3.5999999999999996</v>
      </c>
      <c r="L138" s="6">
        <v>3.2199999999999998</v>
      </c>
      <c r="M138" s="6">
        <v>3.34</v>
      </c>
      <c r="N138" s="6">
        <v>4.3899999999999997</v>
      </c>
      <c r="O138" s="6">
        <v>4.47</v>
      </c>
      <c r="P138" s="6">
        <v>5.43</v>
      </c>
      <c r="Q138" s="6"/>
      <c r="R138" s="6">
        <f t="shared" si="28"/>
        <v>49.449999999999996</v>
      </c>
      <c r="S138" s="1">
        <f t="shared" ref="S138:S146" si="29">+R138/$R$136</f>
        <v>1.392428231517592E-2</v>
      </c>
    </row>
    <row r="139" spans="1:19" x14ac:dyDescent="0.25">
      <c r="A139" t="s">
        <v>44</v>
      </c>
      <c r="B139" t="s">
        <v>15</v>
      </c>
      <c r="D139" s="1">
        <v>4.7626293365794277E-2</v>
      </c>
      <c r="E139" s="6">
        <v>0.05</v>
      </c>
      <c r="F139" s="6">
        <v>0.05</v>
      </c>
      <c r="G139" s="6">
        <v>0.05</v>
      </c>
      <c r="H139" s="6">
        <v>0.05</v>
      </c>
      <c r="I139" s="6">
        <v>0.05</v>
      </c>
      <c r="J139" s="6">
        <v>0.05</v>
      </c>
      <c r="K139" s="6">
        <v>0.05</v>
      </c>
      <c r="L139" s="6">
        <v>0.05</v>
      </c>
      <c r="M139" s="6">
        <v>0.05</v>
      </c>
      <c r="N139" s="6">
        <v>0.05</v>
      </c>
      <c r="O139" s="6">
        <v>0.05</v>
      </c>
      <c r="P139" s="6">
        <v>0.05</v>
      </c>
      <c r="Q139" s="6"/>
      <c r="R139" s="6">
        <f t="shared" si="28"/>
        <v>0.6</v>
      </c>
      <c r="S139" s="1">
        <f t="shared" si="29"/>
        <v>1.689498359778676E-4</v>
      </c>
    </row>
    <row r="140" spans="1:19" x14ac:dyDescent="0.25">
      <c r="A140" t="s">
        <v>44</v>
      </c>
      <c r="B140" t="s">
        <v>16</v>
      </c>
      <c r="D140" s="1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/>
      <c r="R140" s="6">
        <f t="shared" si="28"/>
        <v>0</v>
      </c>
      <c r="S140" s="1">
        <f t="shared" si="29"/>
        <v>0</v>
      </c>
    </row>
    <row r="141" spans="1:19" x14ac:dyDescent="0.25">
      <c r="A141" t="s">
        <v>44</v>
      </c>
      <c r="B141" t="s">
        <v>17</v>
      </c>
      <c r="D141" s="1">
        <v>7.138284250960307E-2</v>
      </c>
      <c r="E141" s="6">
        <v>0.79</v>
      </c>
      <c r="F141" s="6">
        <v>0.72</v>
      </c>
      <c r="G141" s="6">
        <v>0.79</v>
      </c>
      <c r="H141" s="6">
        <v>0.65</v>
      </c>
      <c r="I141" s="6">
        <v>0.72</v>
      </c>
      <c r="J141" s="6">
        <v>0.72</v>
      </c>
      <c r="K141" s="6">
        <v>0.65</v>
      </c>
      <c r="L141" s="6">
        <v>0.57999999999999996</v>
      </c>
      <c r="M141" s="6">
        <v>0.57999999999999996</v>
      </c>
      <c r="N141" s="6">
        <v>0.72</v>
      </c>
      <c r="O141" s="6">
        <v>0.79</v>
      </c>
      <c r="P141" s="6">
        <v>0.93</v>
      </c>
      <c r="Q141" s="6"/>
      <c r="R141" s="6">
        <f t="shared" si="28"/>
        <v>8.64</v>
      </c>
      <c r="S141" s="1">
        <f t="shared" si="29"/>
        <v>2.4328776380812935E-3</v>
      </c>
    </row>
    <row r="142" spans="1:19" x14ac:dyDescent="0.25">
      <c r="A142" t="s">
        <v>44</v>
      </c>
      <c r="B142" t="s">
        <v>18</v>
      </c>
      <c r="D142" s="1">
        <v>6.126221497625222E-2</v>
      </c>
      <c r="E142" s="6">
        <v>115.81</v>
      </c>
      <c r="F142" s="6">
        <v>102.89</v>
      </c>
      <c r="G142" s="6">
        <v>115.13000000000001</v>
      </c>
      <c r="H142" s="6">
        <v>93.210000000000008</v>
      </c>
      <c r="I142" s="6">
        <v>102.32000000000001</v>
      </c>
      <c r="J142" s="6">
        <v>103.87</v>
      </c>
      <c r="K142" s="6">
        <v>90.990000000000009</v>
      </c>
      <c r="L142" s="6">
        <v>81.42</v>
      </c>
      <c r="M142" s="6">
        <v>84.95</v>
      </c>
      <c r="N142" s="6">
        <v>111.01</v>
      </c>
      <c r="O142" s="6">
        <v>112.66000000000001</v>
      </c>
      <c r="P142" s="6">
        <v>137</v>
      </c>
      <c r="Q142" s="6"/>
      <c r="R142" s="6">
        <f t="shared" si="28"/>
        <v>1251.26</v>
      </c>
      <c r="S142" s="1">
        <f t="shared" si="29"/>
        <v>0.35233361960944437</v>
      </c>
    </row>
    <row r="143" spans="1:19" x14ac:dyDescent="0.25">
      <c r="A143" t="s">
        <v>44</v>
      </c>
      <c r="B143" t="s">
        <v>19</v>
      </c>
      <c r="D143" s="1">
        <v>3.9542640922541651E-2</v>
      </c>
      <c r="E143" s="6">
        <v>192.97</v>
      </c>
      <c r="F143" s="6">
        <v>171.45999999999998</v>
      </c>
      <c r="G143" s="6">
        <v>191.87</v>
      </c>
      <c r="H143" s="6">
        <v>155.32999999999998</v>
      </c>
      <c r="I143" s="6">
        <v>170.51</v>
      </c>
      <c r="J143" s="6">
        <v>173.07999999999998</v>
      </c>
      <c r="K143" s="6">
        <v>151.60999999999999</v>
      </c>
      <c r="L143" s="6">
        <v>135.67999999999998</v>
      </c>
      <c r="M143" s="6">
        <v>141.57</v>
      </c>
      <c r="N143" s="6">
        <v>184.98999999999998</v>
      </c>
      <c r="O143" s="6">
        <v>187.70999999999998</v>
      </c>
      <c r="P143" s="6">
        <v>228.28</v>
      </c>
      <c r="Q143" s="6"/>
      <c r="R143" s="6">
        <f t="shared" si="28"/>
        <v>2085.06</v>
      </c>
      <c r="S143" s="1">
        <f t="shared" si="29"/>
        <v>0.58711757500668771</v>
      </c>
    </row>
    <row r="144" spans="1:19" x14ac:dyDescent="0.25">
      <c r="A144" t="s">
        <v>44</v>
      </c>
      <c r="B144" t="s">
        <v>20</v>
      </c>
      <c r="D144" s="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/>
      <c r="R144" s="6">
        <f t="shared" si="28"/>
        <v>0</v>
      </c>
      <c r="S144" s="1">
        <f t="shared" si="29"/>
        <v>0</v>
      </c>
    </row>
    <row r="145" spans="1:19" x14ac:dyDescent="0.25">
      <c r="A145" t="s">
        <v>44</v>
      </c>
      <c r="B145" t="s">
        <v>21</v>
      </c>
      <c r="D145" s="1">
        <v>4.9285836212347433E-5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/>
      <c r="R145" s="6">
        <f t="shared" si="28"/>
        <v>0</v>
      </c>
      <c r="S145" s="1">
        <f t="shared" si="29"/>
        <v>0</v>
      </c>
    </row>
    <row r="146" spans="1:19" x14ac:dyDescent="0.25">
      <c r="A146" t="s">
        <v>44</v>
      </c>
      <c r="B146" t="s">
        <v>22</v>
      </c>
      <c r="D146" s="1">
        <v>1.4285714285714286E-3</v>
      </c>
      <c r="E146" s="7">
        <v>10.79</v>
      </c>
      <c r="F146" s="7">
        <v>9.58</v>
      </c>
      <c r="G146" s="7">
        <v>10.72</v>
      </c>
      <c r="H146" s="7">
        <v>8.65</v>
      </c>
      <c r="I146" s="7">
        <v>9.5</v>
      </c>
      <c r="J146" s="7">
        <v>9.65</v>
      </c>
      <c r="K146" s="7">
        <v>8.43</v>
      </c>
      <c r="L146" s="7">
        <v>7.58</v>
      </c>
      <c r="M146" s="7">
        <v>7.93</v>
      </c>
      <c r="N146" s="7">
        <v>10.36</v>
      </c>
      <c r="O146" s="7">
        <v>10.5</v>
      </c>
      <c r="P146" s="7">
        <v>12.5</v>
      </c>
      <c r="Q146" s="7"/>
      <c r="R146" s="7">
        <f t="shared" si="28"/>
        <v>116.18999999999998</v>
      </c>
      <c r="S146" s="1">
        <f t="shared" si="29"/>
        <v>3.2717135737114059E-2</v>
      </c>
    </row>
    <row r="147" spans="1:19" x14ac:dyDescent="0.25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9" x14ac:dyDescent="0.25">
      <c r="A148" s="4" t="s">
        <v>45</v>
      </c>
      <c r="B148" s="8">
        <f>+E148/E$4</f>
        <v>4.7423076923076922E-2</v>
      </c>
      <c r="C148" s="9"/>
      <c r="E148" s="5">
        <f t="shared" ref="E148:P148" si="30">+SUM(E149:E158)</f>
        <v>357.57</v>
      </c>
      <c r="F148" s="5">
        <f t="shared" si="30"/>
        <v>317.38</v>
      </c>
      <c r="G148" s="5">
        <f t="shared" si="30"/>
        <v>355.5</v>
      </c>
      <c r="H148" s="5">
        <f t="shared" si="30"/>
        <v>287.46999999999997</v>
      </c>
      <c r="I148" s="5">
        <f t="shared" si="30"/>
        <v>315.31</v>
      </c>
      <c r="J148" s="5">
        <f t="shared" si="30"/>
        <v>320.45</v>
      </c>
      <c r="K148" s="5">
        <f t="shared" si="30"/>
        <v>281.26000000000005</v>
      </c>
      <c r="L148" s="5">
        <f t="shared" si="30"/>
        <v>251.42000000000002</v>
      </c>
      <c r="M148" s="5">
        <f t="shared" si="30"/>
        <v>261.77</v>
      </c>
      <c r="N148" s="5">
        <f t="shared" si="30"/>
        <v>342.15000000000003</v>
      </c>
      <c r="O148" s="5">
        <f t="shared" si="30"/>
        <v>347.29</v>
      </c>
      <c r="P148" s="5">
        <f t="shared" si="30"/>
        <v>422.25</v>
      </c>
      <c r="R148" s="5">
        <f t="shared" ref="R148:R158" si="31">SUM(E148:P148)</f>
        <v>3859.82</v>
      </c>
    </row>
    <row r="149" spans="1:19" x14ac:dyDescent="0.25">
      <c r="A149" t="s">
        <v>46</v>
      </c>
      <c r="B149" t="s">
        <v>13</v>
      </c>
      <c r="D149" s="1">
        <v>4.1516517111109326E-2</v>
      </c>
      <c r="E149" s="6">
        <v>3.9099999999999997</v>
      </c>
      <c r="F149" s="6">
        <v>3.4899999999999998</v>
      </c>
      <c r="G149" s="6">
        <v>3.8699999999999997</v>
      </c>
      <c r="H149" s="6">
        <v>3.1599999999999997</v>
      </c>
      <c r="I149" s="6">
        <v>3.4499999999999997</v>
      </c>
      <c r="J149" s="6">
        <v>3.4899999999999998</v>
      </c>
      <c r="K149" s="6">
        <v>3.0799999999999996</v>
      </c>
      <c r="L149" s="6">
        <v>2.75</v>
      </c>
      <c r="M149" s="6">
        <v>2.8699999999999997</v>
      </c>
      <c r="N149" s="6">
        <v>3.7399999999999998</v>
      </c>
      <c r="O149" s="6">
        <v>3.78</v>
      </c>
      <c r="P149" s="6">
        <v>4.6099999999999994</v>
      </c>
      <c r="Q149" s="6"/>
      <c r="R149" s="6">
        <f t="shared" si="31"/>
        <v>42.199999999999996</v>
      </c>
      <c r="S149" s="1">
        <f>+R149/$R$148</f>
        <v>1.0933152323165328E-2</v>
      </c>
    </row>
    <row r="150" spans="1:19" x14ac:dyDescent="0.25">
      <c r="A150" t="s">
        <v>46</v>
      </c>
      <c r="B150" t="s">
        <v>14</v>
      </c>
      <c r="D150" s="1">
        <v>4.2387997133465458E-2</v>
      </c>
      <c r="E150" s="6">
        <v>4.63</v>
      </c>
      <c r="F150" s="6">
        <v>4.12</v>
      </c>
      <c r="G150" s="6">
        <v>4.63</v>
      </c>
      <c r="H150" s="6">
        <v>3.7399999999999998</v>
      </c>
      <c r="I150" s="6">
        <v>4.12</v>
      </c>
      <c r="J150" s="6">
        <v>4.16</v>
      </c>
      <c r="K150" s="6">
        <v>3.65</v>
      </c>
      <c r="L150" s="6">
        <v>3.2699999999999996</v>
      </c>
      <c r="M150" s="6">
        <v>3.4</v>
      </c>
      <c r="N150" s="6">
        <v>4.46</v>
      </c>
      <c r="O150" s="6">
        <v>4.54</v>
      </c>
      <c r="P150" s="6">
        <v>5.52</v>
      </c>
      <c r="Q150" s="6"/>
      <c r="R150" s="6">
        <f t="shared" si="31"/>
        <v>50.239999999999995</v>
      </c>
      <c r="S150" s="1">
        <f t="shared" ref="S150:S158" si="32">+R150/$R$148</f>
        <v>1.3016151012223367E-2</v>
      </c>
    </row>
    <row r="151" spans="1:19" x14ac:dyDescent="0.25">
      <c r="A151" t="s">
        <v>46</v>
      </c>
      <c r="B151" t="s">
        <v>15</v>
      </c>
      <c r="D151" s="1">
        <v>6.0407790626901985E-2</v>
      </c>
      <c r="E151" s="6">
        <v>6.9999999999999993E-2</v>
      </c>
      <c r="F151" s="6">
        <v>6.9999999999999993E-2</v>
      </c>
      <c r="G151" s="6">
        <v>6.9999999999999993E-2</v>
      </c>
      <c r="H151" s="6">
        <v>6.9999999999999993E-2</v>
      </c>
      <c r="I151" s="6">
        <v>6.9999999999999993E-2</v>
      </c>
      <c r="J151" s="6">
        <v>6.9999999999999993E-2</v>
      </c>
      <c r="K151" s="6">
        <v>6.9999999999999993E-2</v>
      </c>
      <c r="L151" s="6">
        <v>6.9999999999999993E-2</v>
      </c>
      <c r="M151" s="6">
        <v>6.9999999999999993E-2</v>
      </c>
      <c r="N151" s="6">
        <v>6.9999999999999993E-2</v>
      </c>
      <c r="O151" s="6">
        <v>6.9999999999999993E-2</v>
      </c>
      <c r="P151" s="6">
        <v>6.9999999999999993E-2</v>
      </c>
      <c r="Q151" s="6"/>
      <c r="R151" s="6">
        <f t="shared" si="31"/>
        <v>0.83999999999999975</v>
      </c>
      <c r="S151" s="1">
        <f t="shared" si="32"/>
        <v>2.1762672870755624E-4</v>
      </c>
    </row>
    <row r="152" spans="1:19" x14ac:dyDescent="0.25">
      <c r="A152" t="s">
        <v>46</v>
      </c>
      <c r="B152" t="s">
        <v>16</v>
      </c>
      <c r="D152" s="1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/>
      <c r="R152" s="6">
        <f t="shared" si="31"/>
        <v>0</v>
      </c>
      <c r="S152" s="1">
        <f t="shared" si="32"/>
        <v>0</v>
      </c>
    </row>
    <row r="153" spans="1:19" x14ac:dyDescent="0.25">
      <c r="A153" t="s">
        <v>46</v>
      </c>
      <c r="B153" t="s">
        <v>17</v>
      </c>
      <c r="D153" s="1">
        <v>1.3444302176696539E-2</v>
      </c>
      <c r="E153" s="6">
        <v>0.15000000000000002</v>
      </c>
      <c r="F153" s="6">
        <v>0.14000000000000001</v>
      </c>
      <c r="G153" s="6">
        <v>0.15000000000000002</v>
      </c>
      <c r="H153" s="6">
        <v>0.13</v>
      </c>
      <c r="I153" s="6">
        <v>0.14000000000000001</v>
      </c>
      <c r="J153" s="6">
        <v>0.14000000000000001</v>
      </c>
      <c r="K153" s="6">
        <v>0.13</v>
      </c>
      <c r="L153" s="6">
        <v>0.11</v>
      </c>
      <c r="M153" s="6">
        <v>0.11</v>
      </c>
      <c r="N153" s="6">
        <v>0.14000000000000001</v>
      </c>
      <c r="O153" s="6">
        <v>0.15000000000000002</v>
      </c>
      <c r="P153" s="6">
        <v>0.18000000000000002</v>
      </c>
      <c r="Q153" s="6"/>
      <c r="R153" s="6">
        <f t="shared" si="31"/>
        <v>1.6700000000000002</v>
      </c>
      <c r="S153" s="1">
        <f t="shared" si="32"/>
        <v>4.3266266302573696E-4</v>
      </c>
    </row>
    <row r="154" spans="1:19" x14ac:dyDescent="0.25">
      <c r="A154" t="s">
        <v>46</v>
      </c>
      <c r="B154" t="s">
        <v>18</v>
      </c>
      <c r="D154" s="1">
        <v>5.0421401055927295E-2</v>
      </c>
      <c r="E154" s="6">
        <v>115.67</v>
      </c>
      <c r="F154" s="6">
        <v>102.76</v>
      </c>
      <c r="G154" s="6">
        <v>114.97</v>
      </c>
      <c r="H154" s="6">
        <v>93.08</v>
      </c>
      <c r="I154" s="6">
        <v>102.21000000000001</v>
      </c>
      <c r="J154" s="6">
        <v>103.72</v>
      </c>
      <c r="K154" s="6">
        <v>90.86</v>
      </c>
      <c r="L154" s="6">
        <v>81.33</v>
      </c>
      <c r="M154" s="6">
        <v>84.86</v>
      </c>
      <c r="N154" s="6">
        <v>110.88000000000001</v>
      </c>
      <c r="O154" s="6">
        <v>112.5</v>
      </c>
      <c r="P154" s="6">
        <v>136.85</v>
      </c>
      <c r="Q154" s="6"/>
      <c r="R154" s="6">
        <f t="shared" si="31"/>
        <v>1249.69</v>
      </c>
      <c r="S154" s="1">
        <f t="shared" si="32"/>
        <v>0.32376898404588816</v>
      </c>
    </row>
    <row r="155" spans="1:19" x14ac:dyDescent="0.25">
      <c r="A155" t="s">
        <v>46</v>
      </c>
      <c r="B155" t="s">
        <v>19</v>
      </c>
      <c r="D155" s="1">
        <v>4.6718641392508586E-2</v>
      </c>
      <c r="E155" s="6">
        <v>222.35</v>
      </c>
      <c r="F155" s="6">
        <v>197.22</v>
      </c>
      <c r="G155" s="6">
        <v>221.09</v>
      </c>
      <c r="H155" s="6">
        <v>178.64</v>
      </c>
      <c r="I155" s="6">
        <v>195.82</v>
      </c>
      <c r="J155" s="6">
        <v>199.22</v>
      </c>
      <c r="K155" s="6">
        <v>175.04000000000002</v>
      </c>
      <c r="L155" s="6">
        <v>156.31</v>
      </c>
      <c r="M155" s="6">
        <v>162.53</v>
      </c>
      <c r="N155" s="6">
        <v>212.5</v>
      </c>
      <c r="O155" s="6">
        <v>215.75</v>
      </c>
      <c r="P155" s="6">
        <v>262.52</v>
      </c>
      <c r="Q155" s="6"/>
      <c r="R155" s="6">
        <f t="shared" si="31"/>
        <v>2398.9899999999998</v>
      </c>
      <c r="S155" s="1">
        <f t="shared" si="32"/>
        <v>0.62152898321683381</v>
      </c>
    </row>
    <row r="156" spans="1:19" x14ac:dyDescent="0.25">
      <c r="A156" t="s">
        <v>46</v>
      </c>
      <c r="B156" t="s">
        <v>20</v>
      </c>
      <c r="D156" s="1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/>
      <c r="R156" s="6">
        <f t="shared" si="31"/>
        <v>0</v>
      </c>
      <c r="S156" s="1">
        <f t="shared" si="32"/>
        <v>0</v>
      </c>
    </row>
    <row r="157" spans="1:19" x14ac:dyDescent="0.25">
      <c r="A157" t="s">
        <v>46</v>
      </c>
      <c r="B157" t="s">
        <v>21</v>
      </c>
      <c r="D157" s="1">
        <v>7.2125613969288948E-5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/>
      <c r="R157" s="6">
        <f t="shared" si="31"/>
        <v>0</v>
      </c>
      <c r="S157" s="1">
        <f t="shared" si="32"/>
        <v>0</v>
      </c>
    </row>
    <row r="158" spans="1:19" x14ac:dyDescent="0.25">
      <c r="A158" t="s">
        <v>46</v>
      </c>
      <c r="B158" t="s">
        <v>22</v>
      </c>
      <c r="D158" s="1">
        <v>1.4285714285714286E-3</v>
      </c>
      <c r="E158" s="7">
        <v>10.79</v>
      </c>
      <c r="F158" s="7">
        <v>9.58</v>
      </c>
      <c r="G158" s="7">
        <v>10.72</v>
      </c>
      <c r="H158" s="7">
        <v>8.65</v>
      </c>
      <c r="I158" s="7">
        <v>9.5</v>
      </c>
      <c r="J158" s="7">
        <v>9.65</v>
      </c>
      <c r="K158" s="7">
        <v>8.43</v>
      </c>
      <c r="L158" s="7">
        <v>7.58</v>
      </c>
      <c r="M158" s="7">
        <v>7.93</v>
      </c>
      <c r="N158" s="7">
        <v>10.36</v>
      </c>
      <c r="O158" s="7">
        <v>10.5</v>
      </c>
      <c r="P158" s="7">
        <v>12.5</v>
      </c>
      <c r="Q158" s="7"/>
      <c r="R158" s="7">
        <f t="shared" si="31"/>
        <v>116.18999999999998</v>
      </c>
      <c r="S158" s="1">
        <f t="shared" si="32"/>
        <v>3.0102440010155909E-2</v>
      </c>
    </row>
    <row r="159" spans="1:19" x14ac:dyDescent="0.25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9" x14ac:dyDescent="0.25">
      <c r="A160" s="4" t="s">
        <v>47</v>
      </c>
      <c r="B160" s="8">
        <f>+E160/E$4</f>
        <v>0.26347082228116708</v>
      </c>
      <c r="C160" s="9"/>
      <c r="E160" s="5">
        <f t="shared" ref="E160:P160" si="33">+SUM(E161:E170)</f>
        <v>1986.57</v>
      </c>
      <c r="F160" s="5">
        <f t="shared" si="33"/>
        <v>1764.3799999999999</v>
      </c>
      <c r="G160" s="5">
        <f t="shared" si="33"/>
        <v>1974.4999999999998</v>
      </c>
      <c r="H160" s="5">
        <f t="shared" si="33"/>
        <v>1598.4700000000003</v>
      </c>
      <c r="I160" s="5">
        <f t="shared" si="33"/>
        <v>1754.31</v>
      </c>
      <c r="J160" s="5">
        <f t="shared" si="33"/>
        <v>1781.4499999999998</v>
      </c>
      <c r="K160" s="5">
        <f t="shared" si="33"/>
        <v>1560.26</v>
      </c>
      <c r="L160" s="5">
        <f t="shared" si="33"/>
        <v>1396.4199999999998</v>
      </c>
      <c r="M160" s="5">
        <f t="shared" si="33"/>
        <v>1456.77</v>
      </c>
      <c r="N160" s="5">
        <f t="shared" si="33"/>
        <v>1904.1499999999999</v>
      </c>
      <c r="O160" s="5">
        <f t="shared" si="33"/>
        <v>1932.29</v>
      </c>
      <c r="P160" s="5">
        <f t="shared" si="33"/>
        <v>2349.25</v>
      </c>
      <c r="R160" s="5">
        <f t="shared" ref="R160:R170" si="34">SUM(E160:P160)</f>
        <v>21458.820000000003</v>
      </c>
    </row>
    <row r="161" spans="1:19" x14ac:dyDescent="0.25">
      <c r="A161" t="s">
        <v>48</v>
      </c>
      <c r="B161" t="s">
        <v>13</v>
      </c>
      <c r="D161" s="1">
        <v>8.39279915731449E-2</v>
      </c>
      <c r="E161" s="6">
        <v>7.89</v>
      </c>
      <c r="F161" s="6">
        <v>7.05</v>
      </c>
      <c r="G161" s="6">
        <v>7.81</v>
      </c>
      <c r="H161" s="6">
        <v>6.38</v>
      </c>
      <c r="I161" s="6">
        <v>6.97</v>
      </c>
      <c r="J161" s="6">
        <v>7.05</v>
      </c>
      <c r="K161" s="6">
        <v>6.22</v>
      </c>
      <c r="L161" s="6">
        <v>5.54</v>
      </c>
      <c r="M161" s="6">
        <v>5.8</v>
      </c>
      <c r="N161" s="6">
        <v>7.56</v>
      </c>
      <c r="O161" s="6">
        <v>7.64</v>
      </c>
      <c r="P161" s="6">
        <v>9.32</v>
      </c>
      <c r="Q161" s="6"/>
      <c r="R161" s="6">
        <f t="shared" si="34"/>
        <v>85.22999999999999</v>
      </c>
      <c r="S161" s="1">
        <f>+R161/$R$160</f>
        <v>3.9717934164133894E-3</v>
      </c>
    </row>
    <row r="162" spans="1:19" x14ac:dyDescent="0.25">
      <c r="A162" t="s">
        <v>48</v>
      </c>
      <c r="B162" t="s">
        <v>14</v>
      </c>
      <c r="D162" s="1">
        <v>0.2429333720849694</v>
      </c>
      <c r="E162" s="6">
        <v>26.48</v>
      </c>
      <c r="F162" s="6">
        <v>23.57</v>
      </c>
      <c r="G162" s="6">
        <v>26.48</v>
      </c>
      <c r="H162" s="6">
        <v>21.380000000000003</v>
      </c>
      <c r="I162" s="6">
        <v>23.57</v>
      </c>
      <c r="J162" s="6">
        <v>23.810000000000002</v>
      </c>
      <c r="K162" s="6">
        <v>20.900000000000002</v>
      </c>
      <c r="L162" s="6">
        <v>18.71</v>
      </c>
      <c r="M162" s="6">
        <v>19.440000000000001</v>
      </c>
      <c r="N162" s="6">
        <v>25.51</v>
      </c>
      <c r="O162" s="6">
        <v>26</v>
      </c>
      <c r="P162" s="6">
        <v>31.59</v>
      </c>
      <c r="Q162" s="6"/>
      <c r="R162" s="6">
        <f t="shared" si="34"/>
        <v>287.44</v>
      </c>
      <c r="S162" s="1">
        <f t="shared" ref="S162:S170" si="35">+R162/$R$160</f>
        <v>1.3394958343469024E-2</v>
      </c>
    </row>
    <row r="163" spans="1:19" x14ac:dyDescent="0.25">
      <c r="A163" t="s">
        <v>48</v>
      </c>
      <c r="B163" t="s">
        <v>15</v>
      </c>
      <c r="D163" s="1">
        <v>0.15687766281192939</v>
      </c>
      <c r="E163" s="6">
        <v>0.16</v>
      </c>
      <c r="F163" s="6">
        <v>0.16</v>
      </c>
      <c r="G163" s="6">
        <v>0.16</v>
      </c>
      <c r="H163" s="6">
        <v>0.16</v>
      </c>
      <c r="I163" s="6">
        <v>0.16</v>
      </c>
      <c r="J163" s="6">
        <v>0.16</v>
      </c>
      <c r="K163" s="6">
        <v>0.16</v>
      </c>
      <c r="L163" s="6">
        <v>0.16</v>
      </c>
      <c r="M163" s="6">
        <v>0.16</v>
      </c>
      <c r="N163" s="6">
        <v>0.16</v>
      </c>
      <c r="O163" s="6">
        <v>0.16</v>
      </c>
      <c r="P163" s="6">
        <v>0.16</v>
      </c>
      <c r="Q163" s="6"/>
      <c r="R163" s="6">
        <f t="shared" si="34"/>
        <v>1.9199999999999997</v>
      </c>
      <c r="S163" s="1">
        <f t="shared" si="35"/>
        <v>8.947369892659519E-5</v>
      </c>
    </row>
    <row r="164" spans="1:19" x14ac:dyDescent="0.25">
      <c r="A164" t="s">
        <v>48</v>
      </c>
      <c r="B164" t="s">
        <v>16</v>
      </c>
      <c r="D164" s="1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/>
      <c r="R164" s="6">
        <f t="shared" si="34"/>
        <v>0</v>
      </c>
      <c r="S164" s="1">
        <f t="shared" si="35"/>
        <v>0</v>
      </c>
    </row>
    <row r="165" spans="1:19" x14ac:dyDescent="0.25">
      <c r="A165" t="s">
        <v>48</v>
      </c>
      <c r="B165" t="s">
        <v>17</v>
      </c>
      <c r="D165" s="1">
        <v>0.40620998719590268</v>
      </c>
      <c r="E165" s="6">
        <v>4.47</v>
      </c>
      <c r="F165" s="6">
        <v>4.0699999999999994</v>
      </c>
      <c r="G165" s="6">
        <v>4.47</v>
      </c>
      <c r="H165" s="6">
        <v>3.6599999999999997</v>
      </c>
      <c r="I165" s="6">
        <v>4.0699999999999994</v>
      </c>
      <c r="J165" s="6">
        <v>4.0699999999999994</v>
      </c>
      <c r="K165" s="6">
        <v>3.6599999999999997</v>
      </c>
      <c r="L165" s="6">
        <v>3.25</v>
      </c>
      <c r="M165" s="6">
        <v>3.25</v>
      </c>
      <c r="N165" s="6">
        <v>4.0699999999999994</v>
      </c>
      <c r="O165" s="6">
        <v>4.47</v>
      </c>
      <c r="P165" s="6">
        <v>5.29</v>
      </c>
      <c r="Q165" s="6"/>
      <c r="R165" s="6">
        <f t="shared" si="34"/>
        <v>48.8</v>
      </c>
      <c r="S165" s="1">
        <f t="shared" si="35"/>
        <v>2.2741231810509614E-3</v>
      </c>
    </row>
    <row r="166" spans="1:19" x14ac:dyDescent="0.25">
      <c r="A166" t="s">
        <v>48</v>
      </c>
      <c r="B166" t="s">
        <v>18</v>
      </c>
      <c r="D166" s="1">
        <v>0.26896213129943658</v>
      </c>
      <c r="E166" s="6">
        <v>617</v>
      </c>
      <c r="F166" s="6">
        <v>548.15</v>
      </c>
      <c r="G166" s="6">
        <v>613.24</v>
      </c>
      <c r="H166" s="6">
        <v>496.51</v>
      </c>
      <c r="I166" s="6">
        <v>545.18999999999994</v>
      </c>
      <c r="J166" s="6">
        <v>553.26</v>
      </c>
      <c r="K166" s="6">
        <v>484.67</v>
      </c>
      <c r="L166" s="6">
        <v>433.84</v>
      </c>
      <c r="M166" s="6">
        <v>452.67</v>
      </c>
      <c r="N166" s="6">
        <v>591.45000000000005</v>
      </c>
      <c r="O166" s="6">
        <v>600.05999999999995</v>
      </c>
      <c r="P166" s="6">
        <v>729.97</v>
      </c>
      <c r="Q166" s="6"/>
      <c r="R166" s="6">
        <f t="shared" si="34"/>
        <v>6666.0100000000011</v>
      </c>
      <c r="S166" s="1">
        <f t="shared" si="35"/>
        <v>0.31064196446962133</v>
      </c>
    </row>
    <row r="167" spans="1:19" x14ac:dyDescent="0.25">
      <c r="A167" t="s">
        <v>48</v>
      </c>
      <c r="B167" t="s">
        <v>19</v>
      </c>
      <c r="D167" s="1">
        <v>0.34153069535809005</v>
      </c>
      <c r="E167" s="6">
        <v>1319.78</v>
      </c>
      <c r="F167" s="6">
        <v>1171.8</v>
      </c>
      <c r="G167" s="6">
        <v>1311.62</v>
      </c>
      <c r="H167" s="6">
        <v>1061.73</v>
      </c>
      <c r="I167" s="6">
        <v>1164.8499999999999</v>
      </c>
      <c r="J167" s="6">
        <v>1183.4499999999998</v>
      </c>
      <c r="K167" s="6">
        <v>1036.22</v>
      </c>
      <c r="L167" s="6">
        <v>927.33999999999992</v>
      </c>
      <c r="M167" s="6">
        <v>967.52</v>
      </c>
      <c r="N167" s="6">
        <v>1265.04</v>
      </c>
      <c r="O167" s="6">
        <v>1283.46</v>
      </c>
      <c r="P167" s="6">
        <v>1560.42</v>
      </c>
      <c r="Q167" s="6"/>
      <c r="R167" s="6">
        <f t="shared" si="34"/>
        <v>14253.230000000001</v>
      </c>
      <c r="S167" s="1">
        <f t="shared" si="35"/>
        <v>0.66421313007891392</v>
      </c>
    </row>
    <row r="168" spans="1:19" x14ac:dyDescent="0.25">
      <c r="A168" t="s">
        <v>48</v>
      </c>
      <c r="B168" t="s">
        <v>20</v>
      </c>
      <c r="D168" s="1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/>
      <c r="R168" s="6">
        <f t="shared" si="34"/>
        <v>0</v>
      </c>
      <c r="S168" s="1">
        <f t="shared" si="35"/>
        <v>0</v>
      </c>
    </row>
    <row r="169" spans="1:19" x14ac:dyDescent="0.25">
      <c r="A169" t="s">
        <v>48</v>
      </c>
      <c r="B169" t="s">
        <v>21</v>
      </c>
      <c r="D169" s="1">
        <v>9.6167485292385232E-5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/>
      <c r="R169" s="6">
        <f t="shared" si="34"/>
        <v>0</v>
      </c>
      <c r="S169" s="1">
        <f t="shared" si="35"/>
        <v>0</v>
      </c>
    </row>
    <row r="170" spans="1:19" x14ac:dyDescent="0.25">
      <c r="A170" t="s">
        <v>48</v>
      </c>
      <c r="B170" t="s">
        <v>22</v>
      </c>
      <c r="D170" s="1">
        <v>1.4285714285714286E-3</v>
      </c>
      <c r="E170" s="7">
        <v>10.79</v>
      </c>
      <c r="F170" s="7">
        <v>9.58</v>
      </c>
      <c r="G170" s="7">
        <v>10.72</v>
      </c>
      <c r="H170" s="7">
        <v>8.65</v>
      </c>
      <c r="I170" s="7">
        <v>9.5</v>
      </c>
      <c r="J170" s="7">
        <v>9.65</v>
      </c>
      <c r="K170" s="7">
        <v>8.43</v>
      </c>
      <c r="L170" s="7">
        <v>7.58</v>
      </c>
      <c r="M170" s="7">
        <v>7.93</v>
      </c>
      <c r="N170" s="7">
        <v>10.36</v>
      </c>
      <c r="O170" s="7">
        <v>10.5</v>
      </c>
      <c r="P170" s="7">
        <v>12.5</v>
      </c>
      <c r="Q170" s="7"/>
      <c r="R170" s="7">
        <f t="shared" si="34"/>
        <v>116.18999999999998</v>
      </c>
      <c r="S170" s="1">
        <f t="shared" si="35"/>
        <v>5.4145568116047375E-3</v>
      </c>
    </row>
    <row r="171" spans="1:19" x14ac:dyDescent="0.25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9" x14ac:dyDescent="0.25">
      <c r="A172" s="4" t="s">
        <v>49</v>
      </c>
      <c r="B172" s="8">
        <f>+E172/E$4</f>
        <v>7.4744031830238714E-2</v>
      </c>
      <c r="C172" s="9"/>
      <c r="E172" s="5">
        <f t="shared" ref="E172:P172" si="36">+SUM(E173:E182)</f>
        <v>563.56999999999994</v>
      </c>
      <c r="F172" s="5">
        <f t="shared" si="36"/>
        <v>501.37999999999994</v>
      </c>
      <c r="G172" s="5">
        <f t="shared" si="36"/>
        <v>560.5</v>
      </c>
      <c r="H172" s="5">
        <f t="shared" si="36"/>
        <v>453.46999999999997</v>
      </c>
      <c r="I172" s="5">
        <f t="shared" si="36"/>
        <v>498.31</v>
      </c>
      <c r="J172" s="5">
        <f t="shared" si="36"/>
        <v>505.45</v>
      </c>
      <c r="K172" s="5">
        <f t="shared" si="36"/>
        <v>443.26000000000005</v>
      </c>
      <c r="L172" s="5">
        <f t="shared" si="36"/>
        <v>396.4199999999999</v>
      </c>
      <c r="M172" s="5">
        <f t="shared" si="36"/>
        <v>413.77</v>
      </c>
      <c r="N172" s="5">
        <f t="shared" si="36"/>
        <v>541.15</v>
      </c>
      <c r="O172" s="5">
        <f t="shared" si="36"/>
        <v>548.29</v>
      </c>
      <c r="P172" s="5">
        <f t="shared" si="36"/>
        <v>667.25</v>
      </c>
      <c r="R172" s="5">
        <f>SUM(E172:P172)</f>
        <v>6092.8199999999988</v>
      </c>
    </row>
    <row r="173" spans="1:19" x14ac:dyDescent="0.25">
      <c r="A173" t="s">
        <v>50</v>
      </c>
      <c r="B173" t="s">
        <v>13</v>
      </c>
      <c r="D173" s="1">
        <v>3.3208461702953336E-2</v>
      </c>
      <c r="E173" s="6">
        <v>3.13</v>
      </c>
      <c r="F173" s="6">
        <v>2.7899999999999996</v>
      </c>
      <c r="G173" s="6">
        <v>3.09</v>
      </c>
      <c r="H173" s="6">
        <v>2.5299999999999998</v>
      </c>
      <c r="I173" s="6">
        <v>2.76</v>
      </c>
      <c r="J173" s="6">
        <v>2.7899999999999996</v>
      </c>
      <c r="K173" s="6">
        <v>2.46</v>
      </c>
      <c r="L173" s="6">
        <v>2.1999999999999997</v>
      </c>
      <c r="M173" s="6">
        <v>2.2999999999999998</v>
      </c>
      <c r="N173" s="6">
        <v>2.9899999999999998</v>
      </c>
      <c r="O173" s="6">
        <v>3.03</v>
      </c>
      <c r="P173" s="6">
        <v>3.69</v>
      </c>
      <c r="Q173" s="6"/>
      <c r="R173" s="6">
        <f t="shared" ref="R173:R181" si="37">SUM(E173:P173)</f>
        <v>33.76</v>
      </c>
      <c r="S173" s="1" t="e">
        <f>+R173/$R$316</f>
        <v>#DIV/0!</v>
      </c>
    </row>
    <row r="174" spans="1:19" x14ac:dyDescent="0.25">
      <c r="A174" t="s">
        <v>50</v>
      </c>
      <c r="B174" t="s">
        <v>14</v>
      </c>
      <c r="D174" s="1">
        <v>3.9159071391287867E-2</v>
      </c>
      <c r="E174" s="6">
        <v>4.2699999999999996</v>
      </c>
      <c r="F174" s="6">
        <v>3.8</v>
      </c>
      <c r="G174" s="6">
        <v>4.2699999999999996</v>
      </c>
      <c r="H174" s="6">
        <v>3.4499999999999997</v>
      </c>
      <c r="I174" s="6">
        <v>3.8</v>
      </c>
      <c r="J174" s="6">
        <v>3.84</v>
      </c>
      <c r="K174" s="6">
        <v>3.3699999999999997</v>
      </c>
      <c r="L174" s="6">
        <v>3.0199999999999996</v>
      </c>
      <c r="M174" s="6">
        <v>3.1399999999999997</v>
      </c>
      <c r="N174" s="6">
        <v>4.12</v>
      </c>
      <c r="O174" s="6">
        <v>4.2</v>
      </c>
      <c r="P174" s="6">
        <v>5.0999999999999996</v>
      </c>
      <c r="Q174" s="6"/>
      <c r="R174" s="6">
        <f t="shared" si="37"/>
        <v>46.38</v>
      </c>
      <c r="S174" s="1" t="e">
        <f t="shared" ref="S174:S182" si="38">+R174/$R$316</f>
        <v>#DIV/0!</v>
      </c>
    </row>
    <row r="175" spans="1:19" x14ac:dyDescent="0.25">
      <c r="A175" t="s">
        <v>50</v>
      </c>
      <c r="B175" t="s">
        <v>15</v>
      </c>
      <c r="D175" s="1">
        <v>5.2799756542909304E-2</v>
      </c>
      <c r="E175" s="6">
        <v>6.0000000000000005E-2</v>
      </c>
      <c r="F175" s="6">
        <v>6.0000000000000005E-2</v>
      </c>
      <c r="G175" s="6">
        <v>6.0000000000000005E-2</v>
      </c>
      <c r="H175" s="6">
        <v>6.0000000000000005E-2</v>
      </c>
      <c r="I175" s="6">
        <v>6.0000000000000005E-2</v>
      </c>
      <c r="J175" s="6">
        <v>6.0000000000000005E-2</v>
      </c>
      <c r="K175" s="6">
        <v>6.0000000000000005E-2</v>
      </c>
      <c r="L175" s="6">
        <v>6.0000000000000005E-2</v>
      </c>
      <c r="M175" s="6">
        <v>6.0000000000000005E-2</v>
      </c>
      <c r="N175" s="6">
        <v>6.0000000000000005E-2</v>
      </c>
      <c r="O175" s="6">
        <v>6.0000000000000005E-2</v>
      </c>
      <c r="P175" s="6">
        <v>6.0000000000000005E-2</v>
      </c>
      <c r="Q175" s="6"/>
      <c r="R175" s="6">
        <f t="shared" si="37"/>
        <v>0.7200000000000002</v>
      </c>
      <c r="S175" s="1" t="e">
        <f t="shared" si="38"/>
        <v>#DIV/0!</v>
      </c>
    </row>
    <row r="176" spans="1:19" x14ac:dyDescent="0.25">
      <c r="A176" t="s">
        <v>50</v>
      </c>
      <c r="B176" t="s">
        <v>16</v>
      </c>
      <c r="D176" s="1"/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/>
      <c r="R176" s="6">
        <f t="shared" si="37"/>
        <v>0</v>
      </c>
      <c r="S176" s="1" t="e">
        <f t="shared" si="38"/>
        <v>#DIV/0!</v>
      </c>
    </row>
    <row r="177" spans="1:19" x14ac:dyDescent="0.25">
      <c r="A177" t="s">
        <v>50</v>
      </c>
      <c r="B177" t="s">
        <v>17</v>
      </c>
      <c r="D177" s="1">
        <v>3.201024327784891E-4</v>
      </c>
      <c r="E177" s="6">
        <v>0.01</v>
      </c>
      <c r="F177" s="6">
        <v>0.01</v>
      </c>
      <c r="G177" s="6">
        <v>0.01</v>
      </c>
      <c r="H177" s="6">
        <v>0.01</v>
      </c>
      <c r="I177" s="6">
        <v>0.01</v>
      </c>
      <c r="J177" s="6">
        <v>0.01</v>
      </c>
      <c r="K177" s="6">
        <v>0.01</v>
      </c>
      <c r="L177" s="6">
        <v>0.01</v>
      </c>
      <c r="M177" s="6">
        <v>0.01</v>
      </c>
      <c r="N177" s="6">
        <v>0.01</v>
      </c>
      <c r="O177" s="6">
        <v>0.01</v>
      </c>
      <c r="P177" s="6">
        <v>0.01</v>
      </c>
      <c r="Q177" s="6"/>
      <c r="R177" s="6">
        <f t="shared" si="37"/>
        <v>0.11999999999999998</v>
      </c>
      <c r="S177" s="1" t="e">
        <f t="shared" si="38"/>
        <v>#DIV/0!</v>
      </c>
    </row>
    <row r="178" spans="1:19" x14ac:dyDescent="0.25">
      <c r="A178" t="s">
        <v>50</v>
      </c>
      <c r="B178" t="s">
        <v>18</v>
      </c>
      <c r="D178" s="1">
        <v>6.8652161899784264E-2</v>
      </c>
      <c r="E178" s="6">
        <v>157.84000000000003</v>
      </c>
      <c r="F178" s="6">
        <v>140.86000000000001</v>
      </c>
      <c r="G178" s="6">
        <v>157.09999999999997</v>
      </c>
      <c r="H178" s="6">
        <v>126.88</v>
      </c>
      <c r="I178" s="6">
        <v>139.80000000000001</v>
      </c>
      <c r="J178" s="6">
        <v>141.56000000000006</v>
      </c>
      <c r="K178" s="6">
        <v>124.50999999999999</v>
      </c>
      <c r="L178" s="6">
        <v>111.12999999999994</v>
      </c>
      <c r="M178" s="6">
        <v>116.07999999999998</v>
      </c>
      <c r="N178" s="6">
        <v>152.17000000000002</v>
      </c>
      <c r="O178" s="6">
        <v>153.58000000000004</v>
      </c>
      <c r="P178" s="6">
        <v>187.51</v>
      </c>
      <c r="Q178" s="6"/>
      <c r="R178" s="6">
        <f t="shared" si="37"/>
        <v>1709.0200000000002</v>
      </c>
      <c r="S178" s="1" t="e">
        <f t="shared" si="38"/>
        <v>#DIV/0!</v>
      </c>
    </row>
    <row r="179" spans="1:19" x14ac:dyDescent="0.25">
      <c r="A179" t="s">
        <v>50</v>
      </c>
      <c r="B179" t="s">
        <v>19</v>
      </c>
      <c r="D179" s="1">
        <v>7.9399379266311326E-2</v>
      </c>
      <c r="E179" s="6">
        <v>387.46999999999997</v>
      </c>
      <c r="F179" s="6">
        <v>344.28</v>
      </c>
      <c r="G179" s="6">
        <v>385.25</v>
      </c>
      <c r="H179" s="6">
        <v>311.89</v>
      </c>
      <c r="I179" s="6">
        <v>342.38</v>
      </c>
      <c r="J179" s="6">
        <v>347.53999999999996</v>
      </c>
      <c r="K179" s="6">
        <v>304.42</v>
      </c>
      <c r="L179" s="6">
        <v>272.42</v>
      </c>
      <c r="M179" s="6">
        <v>284.25</v>
      </c>
      <c r="N179" s="6">
        <v>371.44</v>
      </c>
      <c r="O179" s="6">
        <v>376.90999999999997</v>
      </c>
      <c r="P179" s="6">
        <v>458.38</v>
      </c>
      <c r="Q179" s="6"/>
      <c r="R179" s="6">
        <f t="shared" si="37"/>
        <v>4186.63</v>
      </c>
      <c r="S179" s="1" t="e">
        <f t="shared" si="38"/>
        <v>#DIV/0!</v>
      </c>
    </row>
    <row r="180" spans="1:19" x14ac:dyDescent="0.25">
      <c r="A180" t="s">
        <v>50</v>
      </c>
      <c r="B180" t="s">
        <v>20</v>
      </c>
      <c r="D180" s="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/>
      <c r="R180" s="6">
        <f t="shared" si="37"/>
        <v>0</v>
      </c>
      <c r="S180" s="1" t="e">
        <f t="shared" si="38"/>
        <v>#DIV/0!</v>
      </c>
    </row>
    <row r="181" spans="1:19" x14ac:dyDescent="0.25">
      <c r="A181" t="s">
        <v>50</v>
      </c>
      <c r="B181" t="s">
        <v>21</v>
      </c>
      <c r="D181" s="1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/>
      <c r="R181" s="6">
        <f t="shared" si="37"/>
        <v>0</v>
      </c>
      <c r="S181" s="1" t="e">
        <f t="shared" si="38"/>
        <v>#DIV/0!</v>
      </c>
    </row>
    <row r="182" spans="1:19" x14ac:dyDescent="0.25">
      <c r="A182" t="s">
        <v>50</v>
      </c>
      <c r="B182" t="s">
        <v>22</v>
      </c>
      <c r="D182" s="1">
        <v>1.4285714285714286E-3</v>
      </c>
      <c r="E182" s="7">
        <v>10.79</v>
      </c>
      <c r="F182" s="7">
        <v>9.58</v>
      </c>
      <c r="G182" s="7">
        <v>10.72</v>
      </c>
      <c r="H182" s="7">
        <v>8.65</v>
      </c>
      <c r="I182" s="7">
        <v>9.5</v>
      </c>
      <c r="J182" s="7">
        <v>9.65</v>
      </c>
      <c r="K182" s="7">
        <v>8.43</v>
      </c>
      <c r="L182" s="7">
        <v>7.58</v>
      </c>
      <c r="M182" s="7">
        <v>7.93</v>
      </c>
      <c r="N182" s="7">
        <v>10.36</v>
      </c>
      <c r="O182" s="7">
        <v>10.5</v>
      </c>
      <c r="P182" s="7">
        <v>12.5</v>
      </c>
      <c r="Q182" s="7"/>
      <c r="R182" s="7">
        <f>SUM(E182:P182)</f>
        <v>116.18999999999998</v>
      </c>
      <c r="S182" s="1" t="e">
        <f t="shared" si="38"/>
        <v>#DIV/0!</v>
      </c>
    </row>
    <row r="183" spans="1:19" x14ac:dyDescent="0.25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9" x14ac:dyDescent="0.25">
      <c r="A184" s="4" t="s">
        <v>51</v>
      </c>
      <c r="B184" s="8">
        <f>+E184/E$4</f>
        <v>0</v>
      </c>
      <c r="C184" s="9"/>
      <c r="E184" s="5">
        <f t="shared" ref="E184:P184" si="39">+SUM(E185:E194)</f>
        <v>0</v>
      </c>
      <c r="F184" s="5">
        <f t="shared" si="39"/>
        <v>0</v>
      </c>
      <c r="G184" s="5">
        <f t="shared" si="39"/>
        <v>0</v>
      </c>
      <c r="H184" s="5">
        <f t="shared" si="39"/>
        <v>0</v>
      </c>
      <c r="I184" s="5">
        <f t="shared" si="39"/>
        <v>0</v>
      </c>
      <c r="J184" s="5">
        <f t="shared" si="39"/>
        <v>0</v>
      </c>
      <c r="K184" s="5">
        <f t="shared" si="39"/>
        <v>0</v>
      </c>
      <c r="L184" s="5">
        <f t="shared" si="39"/>
        <v>0</v>
      </c>
      <c r="M184" s="5">
        <f t="shared" si="39"/>
        <v>0</v>
      </c>
      <c r="N184" s="5">
        <f t="shared" si="39"/>
        <v>0</v>
      </c>
      <c r="O184" s="5">
        <f t="shared" si="39"/>
        <v>0</v>
      </c>
      <c r="P184" s="5">
        <f t="shared" si="39"/>
        <v>0</v>
      </c>
      <c r="R184" s="5">
        <f>SUM(E184:P184)</f>
        <v>0</v>
      </c>
    </row>
    <row r="185" spans="1:19" x14ac:dyDescent="0.25">
      <c r="A185" t="s">
        <v>52</v>
      </c>
      <c r="B185" t="s">
        <v>13</v>
      </c>
      <c r="D185" s="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>
        <f t="shared" ref="R185:R193" si="40">SUM(E185:P185)</f>
        <v>0</v>
      </c>
      <c r="S185" s="1" t="e">
        <f>+R185/$R$316</f>
        <v>#DIV/0!</v>
      </c>
    </row>
    <row r="186" spans="1:19" x14ac:dyDescent="0.25">
      <c r="A186" t="s">
        <v>52</v>
      </c>
      <c r="B186" t="s">
        <v>14</v>
      </c>
      <c r="D186" s="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>
        <f t="shared" si="40"/>
        <v>0</v>
      </c>
      <c r="S186" s="1" t="e">
        <f t="shared" ref="S186:S194" si="41">+R186/$R$316</f>
        <v>#DIV/0!</v>
      </c>
    </row>
    <row r="187" spans="1:19" x14ac:dyDescent="0.25">
      <c r="A187" t="s">
        <v>52</v>
      </c>
      <c r="B187" t="s">
        <v>15</v>
      </c>
      <c r="D187" s="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>
        <f t="shared" si="40"/>
        <v>0</v>
      </c>
      <c r="S187" s="1" t="e">
        <f t="shared" si="41"/>
        <v>#DIV/0!</v>
      </c>
    </row>
    <row r="188" spans="1:19" x14ac:dyDescent="0.25">
      <c r="A188" t="s">
        <v>52</v>
      </c>
      <c r="B188" t="s">
        <v>16</v>
      </c>
      <c r="D188" s="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>
        <f t="shared" si="40"/>
        <v>0</v>
      </c>
      <c r="S188" s="1" t="e">
        <f t="shared" si="41"/>
        <v>#DIV/0!</v>
      </c>
    </row>
    <row r="189" spans="1:19" x14ac:dyDescent="0.25">
      <c r="A189" t="s">
        <v>52</v>
      </c>
      <c r="B189" t="s">
        <v>17</v>
      </c>
      <c r="D189" s="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>
        <f t="shared" si="40"/>
        <v>0</v>
      </c>
      <c r="S189" s="1" t="e">
        <f t="shared" si="41"/>
        <v>#DIV/0!</v>
      </c>
    </row>
    <row r="190" spans="1:19" x14ac:dyDescent="0.25">
      <c r="A190" t="s">
        <v>52</v>
      </c>
      <c r="B190" t="s">
        <v>18</v>
      </c>
      <c r="D190" s="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>
        <f t="shared" si="40"/>
        <v>0</v>
      </c>
      <c r="S190" s="1" t="e">
        <f t="shared" si="41"/>
        <v>#DIV/0!</v>
      </c>
    </row>
    <row r="191" spans="1:19" x14ac:dyDescent="0.25">
      <c r="A191" t="s">
        <v>52</v>
      </c>
      <c r="B191" t="s">
        <v>19</v>
      </c>
      <c r="D191" s="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>
        <f t="shared" si="40"/>
        <v>0</v>
      </c>
      <c r="S191" s="1" t="e">
        <f t="shared" si="41"/>
        <v>#DIV/0!</v>
      </c>
    </row>
    <row r="192" spans="1:19" x14ac:dyDescent="0.25">
      <c r="A192" t="s">
        <v>52</v>
      </c>
      <c r="B192" t="s">
        <v>20</v>
      </c>
      <c r="D192" s="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>
        <f t="shared" si="40"/>
        <v>0</v>
      </c>
      <c r="S192" s="1" t="e">
        <f t="shared" si="41"/>
        <v>#DIV/0!</v>
      </c>
    </row>
    <row r="193" spans="1:19" x14ac:dyDescent="0.25">
      <c r="A193" t="s">
        <v>52</v>
      </c>
      <c r="B193" t="s">
        <v>21</v>
      </c>
      <c r="D193" s="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>
        <f t="shared" si="40"/>
        <v>0</v>
      </c>
      <c r="S193" s="1" t="e">
        <f t="shared" si="41"/>
        <v>#DIV/0!</v>
      </c>
    </row>
    <row r="194" spans="1:19" x14ac:dyDescent="0.25">
      <c r="A194" t="s">
        <v>52</v>
      </c>
      <c r="B194" t="s">
        <v>22</v>
      </c>
      <c r="D194" s="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>
        <f>SUM(E194:P194)</f>
        <v>0</v>
      </c>
      <c r="S194" s="1" t="e">
        <f t="shared" si="41"/>
        <v>#DIV/0!</v>
      </c>
    </row>
    <row r="195" spans="1:19" x14ac:dyDescent="0.25"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9" x14ac:dyDescent="0.25">
      <c r="A196" s="4" t="s">
        <v>53</v>
      </c>
      <c r="B196" s="8">
        <f>+E196/E$4</f>
        <v>0</v>
      </c>
      <c r="C196" s="9"/>
      <c r="E196" s="5">
        <f t="shared" ref="E196:P196" si="42">+SUM(E197:E206)</f>
        <v>0</v>
      </c>
      <c r="F196" s="5">
        <f t="shared" si="42"/>
        <v>0</v>
      </c>
      <c r="G196" s="5">
        <f t="shared" si="42"/>
        <v>0</v>
      </c>
      <c r="H196" s="5">
        <f t="shared" si="42"/>
        <v>0</v>
      </c>
      <c r="I196" s="5">
        <f t="shared" si="42"/>
        <v>0</v>
      </c>
      <c r="J196" s="5">
        <f t="shared" si="42"/>
        <v>0</v>
      </c>
      <c r="K196" s="5">
        <f t="shared" si="42"/>
        <v>0</v>
      </c>
      <c r="L196" s="5">
        <f t="shared" si="42"/>
        <v>0</v>
      </c>
      <c r="M196" s="5">
        <f t="shared" si="42"/>
        <v>0</v>
      </c>
      <c r="N196" s="5">
        <f t="shared" si="42"/>
        <v>0</v>
      </c>
      <c r="O196" s="5">
        <f t="shared" si="42"/>
        <v>0</v>
      </c>
      <c r="P196" s="5">
        <f t="shared" si="42"/>
        <v>0</v>
      </c>
      <c r="R196" s="5">
        <f>SUM(E196:P196)</f>
        <v>0</v>
      </c>
    </row>
    <row r="197" spans="1:19" x14ac:dyDescent="0.25">
      <c r="A197" t="s">
        <v>54</v>
      </c>
      <c r="B197" t="s">
        <v>13</v>
      </c>
      <c r="D197" s="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>
        <f t="shared" ref="R197:R205" si="43">SUM(E197:P197)</f>
        <v>0</v>
      </c>
      <c r="S197" s="1" t="e">
        <f>+R197/$R$316</f>
        <v>#DIV/0!</v>
      </c>
    </row>
    <row r="198" spans="1:19" x14ac:dyDescent="0.25">
      <c r="A198" t="s">
        <v>54</v>
      </c>
      <c r="B198" t="s">
        <v>14</v>
      </c>
      <c r="D198" s="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>
        <f t="shared" si="43"/>
        <v>0</v>
      </c>
      <c r="S198" s="1" t="e">
        <f t="shared" ref="S198:S206" si="44">+R198/$R$316</f>
        <v>#DIV/0!</v>
      </c>
    </row>
    <row r="199" spans="1:19" x14ac:dyDescent="0.25">
      <c r="A199" t="s">
        <v>54</v>
      </c>
      <c r="B199" t="s">
        <v>15</v>
      </c>
      <c r="D199" s="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>
        <f t="shared" si="43"/>
        <v>0</v>
      </c>
      <c r="S199" s="1" t="e">
        <f t="shared" si="44"/>
        <v>#DIV/0!</v>
      </c>
    </row>
    <row r="200" spans="1:19" x14ac:dyDescent="0.25">
      <c r="A200" t="s">
        <v>54</v>
      </c>
      <c r="B200" t="s">
        <v>16</v>
      </c>
      <c r="D200" s="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>
        <f t="shared" si="43"/>
        <v>0</v>
      </c>
      <c r="S200" s="1" t="e">
        <f t="shared" si="44"/>
        <v>#DIV/0!</v>
      </c>
    </row>
    <row r="201" spans="1:19" x14ac:dyDescent="0.25">
      <c r="A201" t="s">
        <v>54</v>
      </c>
      <c r="B201" t="s">
        <v>17</v>
      </c>
      <c r="D201" s="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>
        <f t="shared" si="43"/>
        <v>0</v>
      </c>
      <c r="S201" s="1" t="e">
        <f t="shared" si="44"/>
        <v>#DIV/0!</v>
      </c>
    </row>
    <row r="202" spans="1:19" x14ac:dyDescent="0.25">
      <c r="A202" t="s">
        <v>54</v>
      </c>
      <c r="B202" t="s">
        <v>18</v>
      </c>
      <c r="D202" s="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>
        <f t="shared" si="43"/>
        <v>0</v>
      </c>
      <c r="S202" s="1" t="e">
        <f t="shared" si="44"/>
        <v>#DIV/0!</v>
      </c>
    </row>
    <row r="203" spans="1:19" x14ac:dyDescent="0.25">
      <c r="A203" t="s">
        <v>54</v>
      </c>
      <c r="B203" t="s">
        <v>19</v>
      </c>
      <c r="D203" s="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>
        <f t="shared" si="43"/>
        <v>0</v>
      </c>
      <c r="S203" s="1" t="e">
        <f t="shared" si="44"/>
        <v>#DIV/0!</v>
      </c>
    </row>
    <row r="204" spans="1:19" x14ac:dyDescent="0.25">
      <c r="A204" t="s">
        <v>54</v>
      </c>
      <c r="B204" t="s">
        <v>20</v>
      </c>
      <c r="D204" s="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>
        <f t="shared" si="43"/>
        <v>0</v>
      </c>
      <c r="S204" s="1" t="e">
        <f t="shared" si="44"/>
        <v>#DIV/0!</v>
      </c>
    </row>
    <row r="205" spans="1:19" x14ac:dyDescent="0.25">
      <c r="A205" t="s">
        <v>54</v>
      </c>
      <c r="B205" t="s">
        <v>21</v>
      </c>
      <c r="D205" s="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>
        <f t="shared" si="43"/>
        <v>0</v>
      </c>
      <c r="S205" s="1" t="e">
        <f t="shared" si="44"/>
        <v>#DIV/0!</v>
      </c>
    </row>
    <row r="206" spans="1:19" x14ac:dyDescent="0.25">
      <c r="A206" t="s">
        <v>54</v>
      </c>
      <c r="B206" t="s">
        <v>22</v>
      </c>
      <c r="D206" s="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>
        <f>SUM(E206:P206)</f>
        <v>0</v>
      </c>
      <c r="S206" s="1" t="e">
        <f t="shared" si="44"/>
        <v>#DIV/0!</v>
      </c>
    </row>
    <row r="207" spans="1:19" x14ac:dyDescent="0.25"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9" x14ac:dyDescent="0.25">
      <c r="A208" s="4" t="s">
        <v>55</v>
      </c>
      <c r="B208" s="8">
        <f>+E208/E$4</f>
        <v>0</v>
      </c>
      <c r="C208" s="9"/>
      <c r="E208" s="5">
        <f t="shared" ref="E208:P208" si="45">+SUM(E209:E218)</f>
        <v>0</v>
      </c>
      <c r="F208" s="5">
        <f t="shared" si="45"/>
        <v>0</v>
      </c>
      <c r="G208" s="5">
        <f t="shared" si="45"/>
        <v>0</v>
      </c>
      <c r="H208" s="5">
        <f t="shared" si="45"/>
        <v>0</v>
      </c>
      <c r="I208" s="5">
        <f t="shared" si="45"/>
        <v>0</v>
      </c>
      <c r="J208" s="5">
        <f t="shared" si="45"/>
        <v>0</v>
      </c>
      <c r="K208" s="5">
        <f t="shared" si="45"/>
        <v>0</v>
      </c>
      <c r="L208" s="5">
        <f t="shared" si="45"/>
        <v>0</v>
      </c>
      <c r="M208" s="5">
        <f t="shared" si="45"/>
        <v>0</v>
      </c>
      <c r="N208" s="5">
        <f t="shared" si="45"/>
        <v>0</v>
      </c>
      <c r="O208" s="5">
        <f t="shared" si="45"/>
        <v>0</v>
      </c>
      <c r="P208" s="5">
        <f t="shared" si="45"/>
        <v>0</v>
      </c>
      <c r="R208" s="5">
        <f>SUM(E208:P208)</f>
        <v>0</v>
      </c>
    </row>
    <row r="209" spans="1:19" x14ac:dyDescent="0.25">
      <c r="A209" t="s">
        <v>56</v>
      </c>
      <c r="B209" t="s">
        <v>13</v>
      </c>
      <c r="D209" s="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>
        <f t="shared" ref="R209:R217" si="46">SUM(E209:P209)</f>
        <v>0</v>
      </c>
      <c r="S209" s="1" t="e">
        <f>+R209/$R$316</f>
        <v>#DIV/0!</v>
      </c>
    </row>
    <row r="210" spans="1:19" x14ac:dyDescent="0.25">
      <c r="A210" t="s">
        <v>56</v>
      </c>
      <c r="B210" t="s">
        <v>14</v>
      </c>
      <c r="D210" s="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>
        <f t="shared" si="46"/>
        <v>0</v>
      </c>
      <c r="S210" s="1" t="e">
        <f t="shared" ref="S210:S218" si="47">+R210/$R$316</f>
        <v>#DIV/0!</v>
      </c>
    </row>
    <row r="211" spans="1:19" x14ac:dyDescent="0.25">
      <c r="A211" t="s">
        <v>56</v>
      </c>
      <c r="B211" t="s">
        <v>15</v>
      </c>
      <c r="D211" s="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>
        <f t="shared" si="46"/>
        <v>0</v>
      </c>
      <c r="S211" s="1" t="e">
        <f t="shared" si="47"/>
        <v>#DIV/0!</v>
      </c>
    </row>
    <row r="212" spans="1:19" x14ac:dyDescent="0.25">
      <c r="A212" t="s">
        <v>56</v>
      </c>
      <c r="B212" t="s">
        <v>16</v>
      </c>
      <c r="D212" s="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>
        <f t="shared" si="46"/>
        <v>0</v>
      </c>
      <c r="S212" s="1" t="e">
        <f t="shared" si="47"/>
        <v>#DIV/0!</v>
      </c>
    </row>
    <row r="213" spans="1:19" x14ac:dyDescent="0.25">
      <c r="A213" t="s">
        <v>56</v>
      </c>
      <c r="B213" t="s">
        <v>17</v>
      </c>
      <c r="D213" s="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>
        <f t="shared" si="46"/>
        <v>0</v>
      </c>
      <c r="S213" s="1" t="e">
        <f t="shared" si="47"/>
        <v>#DIV/0!</v>
      </c>
    </row>
    <row r="214" spans="1:19" x14ac:dyDescent="0.25">
      <c r="A214" t="s">
        <v>56</v>
      </c>
      <c r="B214" t="s">
        <v>18</v>
      </c>
      <c r="D214" s="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>
        <f t="shared" si="46"/>
        <v>0</v>
      </c>
      <c r="S214" s="1" t="e">
        <f t="shared" si="47"/>
        <v>#DIV/0!</v>
      </c>
    </row>
    <row r="215" spans="1:19" x14ac:dyDescent="0.25">
      <c r="A215" t="s">
        <v>56</v>
      </c>
      <c r="B215" t="s">
        <v>19</v>
      </c>
      <c r="D215" s="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>
        <f t="shared" si="46"/>
        <v>0</v>
      </c>
      <c r="S215" s="1" t="e">
        <f t="shared" si="47"/>
        <v>#DIV/0!</v>
      </c>
    </row>
    <row r="216" spans="1:19" x14ac:dyDescent="0.25">
      <c r="A216" t="s">
        <v>56</v>
      </c>
      <c r="B216" t="s">
        <v>20</v>
      </c>
      <c r="D216" s="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>
        <f t="shared" si="46"/>
        <v>0</v>
      </c>
      <c r="S216" s="1" t="e">
        <f t="shared" si="47"/>
        <v>#DIV/0!</v>
      </c>
    </row>
    <row r="217" spans="1:19" x14ac:dyDescent="0.25">
      <c r="A217" t="s">
        <v>56</v>
      </c>
      <c r="B217" t="s">
        <v>21</v>
      </c>
      <c r="D217" s="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>
        <f t="shared" si="46"/>
        <v>0</v>
      </c>
      <c r="S217" s="1" t="e">
        <f t="shared" si="47"/>
        <v>#DIV/0!</v>
      </c>
    </row>
    <row r="218" spans="1:19" x14ac:dyDescent="0.25">
      <c r="A218" t="s">
        <v>56</v>
      </c>
      <c r="B218" t="s">
        <v>22</v>
      </c>
      <c r="D218" s="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>
        <f>SUM(E218:P218)</f>
        <v>0</v>
      </c>
      <c r="S218" s="1" t="e">
        <f t="shared" si="47"/>
        <v>#DIV/0!</v>
      </c>
    </row>
    <row r="219" spans="1:19" x14ac:dyDescent="0.25"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9" x14ac:dyDescent="0.25">
      <c r="A220" s="4" t="s">
        <v>57</v>
      </c>
      <c r="B220" s="8">
        <f>+E220/E$4</f>
        <v>0</v>
      </c>
      <c r="C220" s="9"/>
      <c r="E220" s="5">
        <f t="shared" ref="E220:P220" si="48">+SUM(E221:E230)</f>
        <v>0</v>
      </c>
      <c r="F220" s="5">
        <f t="shared" si="48"/>
        <v>0</v>
      </c>
      <c r="G220" s="5">
        <f t="shared" si="48"/>
        <v>0</v>
      </c>
      <c r="H220" s="5">
        <f t="shared" si="48"/>
        <v>0</v>
      </c>
      <c r="I220" s="5">
        <f t="shared" si="48"/>
        <v>0</v>
      </c>
      <c r="J220" s="5">
        <f t="shared" si="48"/>
        <v>0</v>
      </c>
      <c r="K220" s="5">
        <f t="shared" si="48"/>
        <v>0</v>
      </c>
      <c r="L220" s="5">
        <f t="shared" si="48"/>
        <v>0</v>
      </c>
      <c r="M220" s="5">
        <f t="shared" si="48"/>
        <v>0</v>
      </c>
      <c r="N220" s="5">
        <f t="shared" si="48"/>
        <v>0</v>
      </c>
      <c r="O220" s="5">
        <f t="shared" si="48"/>
        <v>0</v>
      </c>
      <c r="P220" s="5">
        <f t="shared" si="48"/>
        <v>0</v>
      </c>
      <c r="R220" s="5">
        <f>SUM(E220:P220)</f>
        <v>0</v>
      </c>
    </row>
    <row r="221" spans="1:19" x14ac:dyDescent="0.25">
      <c r="A221" t="s">
        <v>58</v>
      </c>
      <c r="B221" t="s">
        <v>13</v>
      </c>
      <c r="D221" s="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>
        <f t="shared" ref="R221:R229" si="49">SUM(E221:P221)</f>
        <v>0</v>
      </c>
      <c r="S221" s="1" t="e">
        <f>+R221/$R$316</f>
        <v>#DIV/0!</v>
      </c>
    </row>
    <row r="222" spans="1:19" x14ac:dyDescent="0.25">
      <c r="A222" t="s">
        <v>58</v>
      </c>
      <c r="B222" t="s">
        <v>14</v>
      </c>
      <c r="D222" s="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>
        <f t="shared" si="49"/>
        <v>0</v>
      </c>
      <c r="S222" s="1" t="e">
        <f t="shared" ref="S222:S230" si="50">+R222/$R$316</f>
        <v>#DIV/0!</v>
      </c>
    </row>
    <row r="223" spans="1:19" x14ac:dyDescent="0.25">
      <c r="A223" t="s">
        <v>58</v>
      </c>
      <c r="B223" t="s">
        <v>15</v>
      </c>
      <c r="D223" s="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>
        <f t="shared" si="49"/>
        <v>0</v>
      </c>
      <c r="S223" s="1" t="e">
        <f t="shared" si="50"/>
        <v>#DIV/0!</v>
      </c>
    </row>
    <row r="224" spans="1:19" x14ac:dyDescent="0.25">
      <c r="A224" t="s">
        <v>58</v>
      </c>
      <c r="B224" t="s">
        <v>16</v>
      </c>
      <c r="D224" s="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>
        <f t="shared" si="49"/>
        <v>0</v>
      </c>
      <c r="S224" s="1" t="e">
        <f t="shared" si="50"/>
        <v>#DIV/0!</v>
      </c>
    </row>
    <row r="225" spans="1:19" x14ac:dyDescent="0.25">
      <c r="A225" t="s">
        <v>58</v>
      </c>
      <c r="B225" t="s">
        <v>17</v>
      </c>
      <c r="D225" s="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>
        <f t="shared" si="49"/>
        <v>0</v>
      </c>
      <c r="S225" s="1" t="e">
        <f t="shared" si="50"/>
        <v>#DIV/0!</v>
      </c>
    </row>
    <row r="226" spans="1:19" x14ac:dyDescent="0.25">
      <c r="A226" t="s">
        <v>58</v>
      </c>
      <c r="B226" t="s">
        <v>18</v>
      </c>
      <c r="D226" s="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>
        <f t="shared" si="49"/>
        <v>0</v>
      </c>
      <c r="S226" s="1" t="e">
        <f t="shared" si="50"/>
        <v>#DIV/0!</v>
      </c>
    </row>
    <row r="227" spans="1:19" x14ac:dyDescent="0.25">
      <c r="A227" t="s">
        <v>58</v>
      </c>
      <c r="B227" t="s">
        <v>19</v>
      </c>
      <c r="D227" s="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>
        <f t="shared" si="49"/>
        <v>0</v>
      </c>
      <c r="S227" s="1" t="e">
        <f t="shared" si="50"/>
        <v>#DIV/0!</v>
      </c>
    </row>
    <row r="228" spans="1:19" x14ac:dyDescent="0.25">
      <c r="A228" t="s">
        <v>58</v>
      </c>
      <c r="B228" t="s">
        <v>20</v>
      </c>
      <c r="D228" s="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>
        <f t="shared" si="49"/>
        <v>0</v>
      </c>
      <c r="S228" s="1" t="e">
        <f t="shared" si="50"/>
        <v>#DIV/0!</v>
      </c>
    </row>
    <row r="229" spans="1:19" x14ac:dyDescent="0.25">
      <c r="A229" t="s">
        <v>58</v>
      </c>
      <c r="B229" t="s">
        <v>21</v>
      </c>
      <c r="D229" s="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>
        <f t="shared" si="49"/>
        <v>0</v>
      </c>
      <c r="S229" s="1" t="e">
        <f t="shared" si="50"/>
        <v>#DIV/0!</v>
      </c>
    </row>
    <row r="230" spans="1:19" x14ac:dyDescent="0.25">
      <c r="A230" t="s">
        <v>58</v>
      </c>
      <c r="B230" t="s">
        <v>22</v>
      </c>
      <c r="D230" s="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>
        <f>SUM(E230:P230)</f>
        <v>0</v>
      </c>
      <c r="S230" s="1" t="e">
        <f t="shared" si="50"/>
        <v>#DIV/0!</v>
      </c>
    </row>
    <row r="231" spans="1:19" x14ac:dyDescent="0.25"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9" x14ac:dyDescent="0.25">
      <c r="A232" s="4" t="s">
        <v>59</v>
      </c>
      <c r="B232" s="8">
        <f>+E232/E$4</f>
        <v>0</v>
      </c>
      <c r="C232" s="9"/>
      <c r="E232" s="5">
        <f t="shared" ref="E232:P232" si="51">+SUM(E233:E242)</f>
        <v>0</v>
      </c>
      <c r="F232" s="5">
        <f t="shared" si="51"/>
        <v>0</v>
      </c>
      <c r="G232" s="5">
        <f t="shared" si="51"/>
        <v>0</v>
      </c>
      <c r="H232" s="5">
        <f t="shared" si="51"/>
        <v>0</v>
      </c>
      <c r="I232" s="5">
        <f t="shared" si="51"/>
        <v>0</v>
      </c>
      <c r="J232" s="5">
        <f t="shared" si="51"/>
        <v>0</v>
      </c>
      <c r="K232" s="5">
        <f t="shared" si="51"/>
        <v>0</v>
      </c>
      <c r="L232" s="5">
        <f t="shared" si="51"/>
        <v>0</v>
      </c>
      <c r="M232" s="5">
        <f t="shared" si="51"/>
        <v>0</v>
      </c>
      <c r="N232" s="5">
        <f t="shared" si="51"/>
        <v>0</v>
      </c>
      <c r="O232" s="5">
        <f t="shared" si="51"/>
        <v>0</v>
      </c>
      <c r="P232" s="5">
        <f t="shared" si="51"/>
        <v>0</v>
      </c>
      <c r="R232" s="5">
        <f>SUM(E232:P232)</f>
        <v>0</v>
      </c>
    </row>
    <row r="233" spans="1:19" x14ac:dyDescent="0.25">
      <c r="A233" t="s">
        <v>60</v>
      </c>
      <c r="B233" t="s">
        <v>13</v>
      </c>
      <c r="D233" s="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>
        <f t="shared" ref="R233:R241" si="52">SUM(E233:P233)</f>
        <v>0</v>
      </c>
      <c r="S233" s="1" t="e">
        <f>+R233/$R$316</f>
        <v>#DIV/0!</v>
      </c>
    </row>
    <row r="234" spans="1:19" x14ac:dyDescent="0.25">
      <c r="A234" t="s">
        <v>60</v>
      </c>
      <c r="B234" t="s">
        <v>14</v>
      </c>
      <c r="D234" s="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>
        <f t="shared" si="52"/>
        <v>0</v>
      </c>
      <c r="S234" s="1" t="e">
        <f t="shared" ref="S234:S242" si="53">+R234/$R$316</f>
        <v>#DIV/0!</v>
      </c>
    </row>
    <row r="235" spans="1:19" x14ac:dyDescent="0.25">
      <c r="A235" t="s">
        <v>60</v>
      </c>
      <c r="B235" t="s">
        <v>15</v>
      </c>
      <c r="D235" s="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>
        <f t="shared" si="52"/>
        <v>0</v>
      </c>
      <c r="S235" s="1" t="e">
        <f t="shared" si="53"/>
        <v>#DIV/0!</v>
      </c>
    </row>
    <row r="236" spans="1:19" x14ac:dyDescent="0.25">
      <c r="A236" t="s">
        <v>60</v>
      </c>
      <c r="B236" t="s">
        <v>16</v>
      </c>
      <c r="D236" s="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>
        <f t="shared" si="52"/>
        <v>0</v>
      </c>
      <c r="S236" s="1" t="e">
        <f t="shared" si="53"/>
        <v>#DIV/0!</v>
      </c>
    </row>
    <row r="237" spans="1:19" x14ac:dyDescent="0.25">
      <c r="A237" t="s">
        <v>60</v>
      </c>
      <c r="B237" t="s">
        <v>17</v>
      </c>
      <c r="D237" s="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>
        <f t="shared" si="52"/>
        <v>0</v>
      </c>
      <c r="S237" s="1" t="e">
        <f t="shared" si="53"/>
        <v>#DIV/0!</v>
      </c>
    </row>
    <row r="238" spans="1:19" x14ac:dyDescent="0.25">
      <c r="A238" t="s">
        <v>60</v>
      </c>
      <c r="B238" t="s">
        <v>18</v>
      </c>
      <c r="D238" s="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>
        <f t="shared" si="52"/>
        <v>0</v>
      </c>
      <c r="S238" s="1" t="e">
        <f t="shared" si="53"/>
        <v>#DIV/0!</v>
      </c>
    </row>
    <row r="239" spans="1:19" x14ac:dyDescent="0.25">
      <c r="A239" t="s">
        <v>60</v>
      </c>
      <c r="B239" t="s">
        <v>19</v>
      </c>
      <c r="D239" s="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>
        <f t="shared" si="52"/>
        <v>0</v>
      </c>
      <c r="S239" s="1" t="e">
        <f t="shared" si="53"/>
        <v>#DIV/0!</v>
      </c>
    </row>
    <row r="240" spans="1:19" x14ac:dyDescent="0.25">
      <c r="A240" t="s">
        <v>60</v>
      </c>
      <c r="B240" t="s">
        <v>20</v>
      </c>
      <c r="D240" s="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>
        <f t="shared" si="52"/>
        <v>0</v>
      </c>
      <c r="S240" s="1" t="e">
        <f t="shared" si="53"/>
        <v>#DIV/0!</v>
      </c>
    </row>
    <row r="241" spans="1:19" x14ac:dyDescent="0.25">
      <c r="A241" t="s">
        <v>60</v>
      </c>
      <c r="B241" t="s">
        <v>21</v>
      </c>
      <c r="D241" s="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>
        <f t="shared" si="52"/>
        <v>0</v>
      </c>
      <c r="S241" s="1" t="e">
        <f t="shared" si="53"/>
        <v>#DIV/0!</v>
      </c>
    </row>
    <row r="242" spans="1:19" x14ac:dyDescent="0.25">
      <c r="A242" t="s">
        <v>60</v>
      </c>
      <c r="B242" t="s">
        <v>22</v>
      </c>
      <c r="D242" s="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>
        <f>SUM(E242:P242)</f>
        <v>0</v>
      </c>
      <c r="S242" s="1" t="e">
        <f t="shared" si="53"/>
        <v>#DIV/0!</v>
      </c>
    </row>
    <row r="243" spans="1:19" x14ac:dyDescent="0.25"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9" x14ac:dyDescent="0.25">
      <c r="A244" s="4" t="s">
        <v>61</v>
      </c>
      <c r="B244" s="8">
        <f>+E244/E$4</f>
        <v>0</v>
      </c>
      <c r="C244" s="9"/>
      <c r="E244" s="5">
        <f t="shared" ref="E244:P244" si="54">+SUM(E245:E254)</f>
        <v>0</v>
      </c>
      <c r="F244" s="5">
        <f t="shared" si="54"/>
        <v>0</v>
      </c>
      <c r="G244" s="5">
        <f t="shared" si="54"/>
        <v>0</v>
      </c>
      <c r="H244" s="5">
        <f t="shared" si="54"/>
        <v>0</v>
      </c>
      <c r="I244" s="5">
        <f t="shared" si="54"/>
        <v>0</v>
      </c>
      <c r="J244" s="5">
        <f t="shared" si="54"/>
        <v>0</v>
      </c>
      <c r="K244" s="5">
        <f t="shared" si="54"/>
        <v>0</v>
      </c>
      <c r="L244" s="5">
        <f t="shared" si="54"/>
        <v>0</v>
      </c>
      <c r="M244" s="5">
        <f t="shared" si="54"/>
        <v>0</v>
      </c>
      <c r="N244" s="5">
        <f t="shared" si="54"/>
        <v>0</v>
      </c>
      <c r="O244" s="5">
        <f t="shared" si="54"/>
        <v>0</v>
      </c>
      <c r="P244" s="5">
        <f t="shared" si="54"/>
        <v>0</v>
      </c>
      <c r="R244" s="5">
        <f>SUM(E244:P244)</f>
        <v>0</v>
      </c>
    </row>
    <row r="245" spans="1:19" x14ac:dyDescent="0.25">
      <c r="A245" t="s">
        <v>62</v>
      </c>
      <c r="B245" t="s">
        <v>13</v>
      </c>
      <c r="D245" s="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>
        <f t="shared" ref="R245:R253" si="55">SUM(E245:P245)</f>
        <v>0</v>
      </c>
      <c r="S245" s="1" t="e">
        <f>+R245/$R$316</f>
        <v>#DIV/0!</v>
      </c>
    </row>
    <row r="246" spans="1:19" x14ac:dyDescent="0.25">
      <c r="A246" t="s">
        <v>62</v>
      </c>
      <c r="B246" t="s">
        <v>14</v>
      </c>
      <c r="D246" s="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>
        <f t="shared" si="55"/>
        <v>0</v>
      </c>
      <c r="S246" s="1" t="e">
        <f t="shared" ref="S246:S254" si="56">+R246/$R$316</f>
        <v>#DIV/0!</v>
      </c>
    </row>
    <row r="247" spans="1:19" x14ac:dyDescent="0.25">
      <c r="A247" t="s">
        <v>62</v>
      </c>
      <c r="B247" t="s">
        <v>15</v>
      </c>
      <c r="D247" s="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>
        <f t="shared" si="55"/>
        <v>0</v>
      </c>
      <c r="S247" s="1" t="e">
        <f t="shared" si="56"/>
        <v>#DIV/0!</v>
      </c>
    </row>
    <row r="248" spans="1:19" x14ac:dyDescent="0.25">
      <c r="A248" t="s">
        <v>62</v>
      </c>
      <c r="B248" t="s">
        <v>16</v>
      </c>
      <c r="D248" s="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>
        <f t="shared" si="55"/>
        <v>0</v>
      </c>
      <c r="S248" s="1" t="e">
        <f t="shared" si="56"/>
        <v>#DIV/0!</v>
      </c>
    </row>
    <row r="249" spans="1:19" x14ac:dyDescent="0.25">
      <c r="A249" t="s">
        <v>62</v>
      </c>
      <c r="B249" t="s">
        <v>17</v>
      </c>
      <c r="D249" s="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>
        <f t="shared" si="55"/>
        <v>0</v>
      </c>
      <c r="S249" s="1" t="e">
        <f t="shared" si="56"/>
        <v>#DIV/0!</v>
      </c>
    </row>
    <row r="250" spans="1:19" x14ac:dyDescent="0.25">
      <c r="A250" t="s">
        <v>62</v>
      </c>
      <c r="B250" t="s">
        <v>18</v>
      </c>
      <c r="D250" s="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>
        <f t="shared" si="55"/>
        <v>0</v>
      </c>
      <c r="S250" s="1" t="e">
        <f t="shared" si="56"/>
        <v>#DIV/0!</v>
      </c>
    </row>
    <row r="251" spans="1:19" x14ac:dyDescent="0.25">
      <c r="A251" t="s">
        <v>62</v>
      </c>
      <c r="B251" t="s">
        <v>19</v>
      </c>
      <c r="D251" s="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>
        <f t="shared" si="55"/>
        <v>0</v>
      </c>
      <c r="S251" s="1" t="e">
        <f t="shared" si="56"/>
        <v>#DIV/0!</v>
      </c>
    </row>
    <row r="252" spans="1:19" x14ac:dyDescent="0.25">
      <c r="A252" t="s">
        <v>62</v>
      </c>
      <c r="B252" t="s">
        <v>20</v>
      </c>
      <c r="D252" s="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>
        <f t="shared" si="55"/>
        <v>0</v>
      </c>
      <c r="S252" s="1" t="e">
        <f t="shared" si="56"/>
        <v>#DIV/0!</v>
      </c>
    </row>
    <row r="253" spans="1:19" x14ac:dyDescent="0.25">
      <c r="A253" t="s">
        <v>62</v>
      </c>
      <c r="B253" t="s">
        <v>21</v>
      </c>
      <c r="D253" s="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>
        <f t="shared" si="55"/>
        <v>0</v>
      </c>
      <c r="S253" s="1" t="e">
        <f t="shared" si="56"/>
        <v>#DIV/0!</v>
      </c>
    </row>
    <row r="254" spans="1:19" x14ac:dyDescent="0.25">
      <c r="A254" t="s">
        <v>62</v>
      </c>
      <c r="B254" t="s">
        <v>22</v>
      </c>
      <c r="D254" s="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>
        <f>SUM(E254:P254)</f>
        <v>0</v>
      </c>
      <c r="S254" s="1" t="e">
        <f t="shared" si="56"/>
        <v>#DIV/0!</v>
      </c>
    </row>
    <row r="255" spans="1:19" x14ac:dyDescent="0.25"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9" x14ac:dyDescent="0.25">
      <c r="A256" s="4" t="s">
        <v>63</v>
      </c>
      <c r="B256" s="8">
        <f>+E256/E$4</f>
        <v>0</v>
      </c>
      <c r="C256" s="9"/>
      <c r="E256" s="5">
        <f t="shared" ref="E256:P256" si="57">+SUM(E257:E266)</f>
        <v>0</v>
      </c>
      <c r="F256" s="5">
        <f t="shared" si="57"/>
        <v>0</v>
      </c>
      <c r="G256" s="5">
        <f t="shared" si="57"/>
        <v>0</v>
      </c>
      <c r="H256" s="5">
        <f t="shared" si="57"/>
        <v>0</v>
      </c>
      <c r="I256" s="5">
        <f t="shared" si="57"/>
        <v>0</v>
      </c>
      <c r="J256" s="5">
        <f t="shared" si="57"/>
        <v>0</v>
      </c>
      <c r="K256" s="5">
        <f t="shared" si="57"/>
        <v>0</v>
      </c>
      <c r="L256" s="5">
        <f t="shared" si="57"/>
        <v>0</v>
      </c>
      <c r="M256" s="5">
        <f t="shared" si="57"/>
        <v>0</v>
      </c>
      <c r="N256" s="5">
        <f t="shared" si="57"/>
        <v>0</v>
      </c>
      <c r="O256" s="5">
        <f t="shared" si="57"/>
        <v>0</v>
      </c>
      <c r="P256" s="5">
        <f t="shared" si="57"/>
        <v>0</v>
      </c>
      <c r="R256" s="5">
        <f>SUM(E256:P256)</f>
        <v>0</v>
      </c>
    </row>
    <row r="257" spans="1:19" x14ac:dyDescent="0.25">
      <c r="A257" t="s">
        <v>64</v>
      </c>
      <c r="B257" t="s">
        <v>13</v>
      </c>
      <c r="D257" s="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>
        <f t="shared" ref="R257:R265" si="58">SUM(E257:P257)</f>
        <v>0</v>
      </c>
      <c r="S257" s="1" t="e">
        <f>+R257/$R$316</f>
        <v>#DIV/0!</v>
      </c>
    </row>
    <row r="258" spans="1:19" x14ac:dyDescent="0.25">
      <c r="A258" t="s">
        <v>64</v>
      </c>
      <c r="B258" t="s">
        <v>14</v>
      </c>
      <c r="D258" s="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>
        <f t="shared" si="58"/>
        <v>0</v>
      </c>
      <c r="S258" s="1" t="e">
        <f t="shared" ref="S258:S266" si="59">+R258/$R$316</f>
        <v>#DIV/0!</v>
      </c>
    </row>
    <row r="259" spans="1:19" x14ac:dyDescent="0.25">
      <c r="A259" t="s">
        <v>64</v>
      </c>
      <c r="B259" t="s">
        <v>15</v>
      </c>
      <c r="D259" s="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>
        <f t="shared" si="58"/>
        <v>0</v>
      </c>
      <c r="S259" s="1" t="e">
        <f t="shared" si="59"/>
        <v>#DIV/0!</v>
      </c>
    </row>
    <row r="260" spans="1:19" x14ac:dyDescent="0.25">
      <c r="A260" t="s">
        <v>64</v>
      </c>
      <c r="B260" t="s">
        <v>16</v>
      </c>
      <c r="D260" s="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>
        <f t="shared" si="58"/>
        <v>0</v>
      </c>
      <c r="S260" s="1" t="e">
        <f t="shared" si="59"/>
        <v>#DIV/0!</v>
      </c>
    </row>
    <row r="261" spans="1:19" x14ac:dyDescent="0.25">
      <c r="A261" t="s">
        <v>64</v>
      </c>
      <c r="B261" t="s">
        <v>17</v>
      </c>
      <c r="D261" s="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>
        <f t="shared" si="58"/>
        <v>0</v>
      </c>
      <c r="S261" s="1" t="e">
        <f t="shared" si="59"/>
        <v>#DIV/0!</v>
      </c>
    </row>
    <row r="262" spans="1:19" x14ac:dyDescent="0.25">
      <c r="A262" t="s">
        <v>64</v>
      </c>
      <c r="B262" t="s">
        <v>18</v>
      </c>
      <c r="D262" s="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>
        <f t="shared" si="58"/>
        <v>0</v>
      </c>
      <c r="S262" s="1" t="e">
        <f t="shared" si="59"/>
        <v>#DIV/0!</v>
      </c>
    </row>
    <row r="263" spans="1:19" x14ac:dyDescent="0.25">
      <c r="A263" t="s">
        <v>64</v>
      </c>
      <c r="B263" t="s">
        <v>19</v>
      </c>
      <c r="D263" s="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>
        <f t="shared" si="58"/>
        <v>0</v>
      </c>
      <c r="S263" s="1" t="e">
        <f t="shared" si="59"/>
        <v>#DIV/0!</v>
      </c>
    </row>
    <row r="264" spans="1:19" x14ac:dyDescent="0.25">
      <c r="A264" t="s">
        <v>64</v>
      </c>
      <c r="B264" t="s">
        <v>20</v>
      </c>
      <c r="D264" s="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>
        <f t="shared" si="58"/>
        <v>0</v>
      </c>
      <c r="S264" s="1" t="e">
        <f t="shared" si="59"/>
        <v>#DIV/0!</v>
      </c>
    </row>
    <row r="265" spans="1:19" x14ac:dyDescent="0.25">
      <c r="A265" t="s">
        <v>64</v>
      </c>
      <c r="B265" t="s">
        <v>21</v>
      </c>
      <c r="D265" s="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>
        <f t="shared" si="58"/>
        <v>0</v>
      </c>
      <c r="S265" s="1" t="e">
        <f t="shared" si="59"/>
        <v>#DIV/0!</v>
      </c>
    </row>
    <row r="266" spans="1:19" x14ac:dyDescent="0.25">
      <c r="A266" t="s">
        <v>64</v>
      </c>
      <c r="B266" t="s">
        <v>22</v>
      </c>
      <c r="D266" s="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>
        <f>SUM(E266:P266)</f>
        <v>0</v>
      </c>
      <c r="S266" s="1" t="e">
        <f t="shared" si="59"/>
        <v>#DIV/0!</v>
      </c>
    </row>
    <row r="267" spans="1:19" x14ac:dyDescent="0.25"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9" x14ac:dyDescent="0.25">
      <c r="A268" s="4" t="s">
        <v>65</v>
      </c>
      <c r="B268" s="8">
        <f>+E268/E$4</f>
        <v>0</v>
      </c>
      <c r="C268" s="9"/>
      <c r="E268" s="5">
        <f t="shared" ref="E268:P268" si="60">+SUM(E269:E278)</f>
        <v>0</v>
      </c>
      <c r="F268" s="5">
        <f t="shared" si="60"/>
        <v>0</v>
      </c>
      <c r="G268" s="5">
        <f t="shared" si="60"/>
        <v>0</v>
      </c>
      <c r="H268" s="5">
        <f t="shared" si="60"/>
        <v>0</v>
      </c>
      <c r="I268" s="5">
        <f t="shared" si="60"/>
        <v>0</v>
      </c>
      <c r="J268" s="5">
        <f t="shared" si="60"/>
        <v>0</v>
      </c>
      <c r="K268" s="5">
        <f t="shared" si="60"/>
        <v>0</v>
      </c>
      <c r="L268" s="5">
        <f t="shared" si="60"/>
        <v>0</v>
      </c>
      <c r="M268" s="5">
        <f t="shared" si="60"/>
        <v>0</v>
      </c>
      <c r="N268" s="5">
        <f t="shared" si="60"/>
        <v>0</v>
      </c>
      <c r="O268" s="5">
        <f t="shared" si="60"/>
        <v>0</v>
      </c>
      <c r="P268" s="5">
        <f t="shared" si="60"/>
        <v>0</v>
      </c>
      <c r="R268" s="5">
        <f>SUM(E268:P268)</f>
        <v>0</v>
      </c>
    </row>
    <row r="269" spans="1:19" x14ac:dyDescent="0.25">
      <c r="A269" t="s">
        <v>66</v>
      </c>
      <c r="B269" t="s">
        <v>13</v>
      </c>
      <c r="D269" s="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>
        <f t="shared" ref="R269:R277" si="61">SUM(E269:P269)</f>
        <v>0</v>
      </c>
      <c r="S269" s="1" t="e">
        <f>+R269/$R$316</f>
        <v>#DIV/0!</v>
      </c>
    </row>
    <row r="270" spans="1:19" x14ac:dyDescent="0.25">
      <c r="A270" t="s">
        <v>66</v>
      </c>
      <c r="B270" t="s">
        <v>14</v>
      </c>
      <c r="D270" s="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>
        <f t="shared" si="61"/>
        <v>0</v>
      </c>
      <c r="S270" s="1" t="e">
        <f t="shared" ref="S270:S278" si="62">+R270/$R$316</f>
        <v>#DIV/0!</v>
      </c>
    </row>
    <row r="271" spans="1:19" x14ac:dyDescent="0.25">
      <c r="A271" t="s">
        <v>66</v>
      </c>
      <c r="B271" t="s">
        <v>15</v>
      </c>
      <c r="D271" s="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>
        <f t="shared" si="61"/>
        <v>0</v>
      </c>
      <c r="S271" s="1" t="e">
        <f t="shared" si="62"/>
        <v>#DIV/0!</v>
      </c>
    </row>
    <row r="272" spans="1:19" x14ac:dyDescent="0.25">
      <c r="A272" t="s">
        <v>66</v>
      </c>
      <c r="B272" t="s">
        <v>16</v>
      </c>
      <c r="D272" s="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>
        <f t="shared" si="61"/>
        <v>0</v>
      </c>
      <c r="S272" s="1" t="e">
        <f t="shared" si="62"/>
        <v>#DIV/0!</v>
      </c>
    </row>
    <row r="273" spans="1:19" x14ac:dyDescent="0.25">
      <c r="A273" t="s">
        <v>66</v>
      </c>
      <c r="B273" t="s">
        <v>17</v>
      </c>
      <c r="D273" s="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>
        <f t="shared" si="61"/>
        <v>0</v>
      </c>
      <c r="S273" s="1" t="e">
        <f t="shared" si="62"/>
        <v>#DIV/0!</v>
      </c>
    </row>
    <row r="274" spans="1:19" x14ac:dyDescent="0.25">
      <c r="A274" t="s">
        <v>66</v>
      </c>
      <c r="B274" t="s">
        <v>18</v>
      </c>
      <c r="D274" s="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>
        <f t="shared" si="61"/>
        <v>0</v>
      </c>
      <c r="S274" s="1" t="e">
        <f t="shared" si="62"/>
        <v>#DIV/0!</v>
      </c>
    </row>
    <row r="275" spans="1:19" x14ac:dyDescent="0.25">
      <c r="A275" t="s">
        <v>66</v>
      </c>
      <c r="B275" t="s">
        <v>19</v>
      </c>
      <c r="D275" s="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>
        <f t="shared" si="61"/>
        <v>0</v>
      </c>
      <c r="S275" s="1" t="e">
        <f t="shared" si="62"/>
        <v>#DIV/0!</v>
      </c>
    </row>
    <row r="276" spans="1:19" x14ac:dyDescent="0.25">
      <c r="A276" t="s">
        <v>66</v>
      </c>
      <c r="B276" t="s">
        <v>20</v>
      </c>
      <c r="D276" s="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>
        <f t="shared" si="61"/>
        <v>0</v>
      </c>
      <c r="S276" s="1" t="e">
        <f t="shared" si="62"/>
        <v>#DIV/0!</v>
      </c>
    </row>
    <row r="277" spans="1:19" x14ac:dyDescent="0.25">
      <c r="A277" t="s">
        <v>66</v>
      </c>
      <c r="B277" t="s">
        <v>21</v>
      </c>
      <c r="D277" s="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>
        <f t="shared" si="61"/>
        <v>0</v>
      </c>
      <c r="S277" s="1" t="e">
        <f t="shared" si="62"/>
        <v>#DIV/0!</v>
      </c>
    </row>
    <row r="278" spans="1:19" x14ac:dyDescent="0.25">
      <c r="A278" t="s">
        <v>66</v>
      </c>
      <c r="B278" t="s">
        <v>22</v>
      </c>
      <c r="D278" s="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>
        <f>SUM(E278:P278)</f>
        <v>0</v>
      </c>
      <c r="S278" s="1" t="e">
        <f t="shared" si="62"/>
        <v>#DIV/0!</v>
      </c>
    </row>
    <row r="279" spans="1:19" x14ac:dyDescent="0.25"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9" x14ac:dyDescent="0.25">
      <c r="A280" s="4" t="s">
        <v>67</v>
      </c>
      <c r="B280" s="8">
        <f>+E280/E$4</f>
        <v>0</v>
      </c>
      <c r="C280" s="9"/>
      <c r="E280" s="5">
        <f t="shared" ref="E280:P280" si="63">+SUM(E281:E290)</f>
        <v>0</v>
      </c>
      <c r="F280" s="5">
        <f t="shared" si="63"/>
        <v>0</v>
      </c>
      <c r="G280" s="5">
        <f t="shared" si="63"/>
        <v>0</v>
      </c>
      <c r="H280" s="5">
        <f t="shared" si="63"/>
        <v>0</v>
      </c>
      <c r="I280" s="5">
        <f t="shared" si="63"/>
        <v>0</v>
      </c>
      <c r="J280" s="5">
        <f t="shared" si="63"/>
        <v>0</v>
      </c>
      <c r="K280" s="5">
        <f t="shared" si="63"/>
        <v>0</v>
      </c>
      <c r="L280" s="5">
        <f t="shared" si="63"/>
        <v>0</v>
      </c>
      <c r="M280" s="5">
        <f t="shared" si="63"/>
        <v>0</v>
      </c>
      <c r="N280" s="5">
        <f t="shared" si="63"/>
        <v>0</v>
      </c>
      <c r="O280" s="5">
        <f t="shared" si="63"/>
        <v>0</v>
      </c>
      <c r="P280" s="5">
        <f t="shared" si="63"/>
        <v>0</v>
      </c>
      <c r="R280" s="5">
        <f>SUM(E280:P280)</f>
        <v>0</v>
      </c>
    </row>
    <row r="281" spans="1:19" x14ac:dyDescent="0.25">
      <c r="A281" t="s">
        <v>68</v>
      </c>
      <c r="B281" t="s">
        <v>13</v>
      </c>
      <c r="D281" s="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>
        <f t="shared" ref="R281:R289" si="64">SUM(E281:P281)</f>
        <v>0</v>
      </c>
      <c r="S281" s="1" t="e">
        <f>+R281/$R$316</f>
        <v>#DIV/0!</v>
      </c>
    </row>
    <row r="282" spans="1:19" x14ac:dyDescent="0.25">
      <c r="A282" t="s">
        <v>68</v>
      </c>
      <c r="B282" t="s">
        <v>14</v>
      </c>
      <c r="D282" s="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>
        <f t="shared" si="64"/>
        <v>0</v>
      </c>
      <c r="S282" s="1" t="e">
        <f t="shared" ref="S282:S290" si="65">+R282/$R$316</f>
        <v>#DIV/0!</v>
      </c>
    </row>
    <row r="283" spans="1:19" x14ac:dyDescent="0.25">
      <c r="A283" t="s">
        <v>68</v>
      </c>
      <c r="B283" t="s">
        <v>15</v>
      </c>
      <c r="D283" s="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>
        <f t="shared" si="64"/>
        <v>0</v>
      </c>
      <c r="S283" s="1" t="e">
        <f t="shared" si="65"/>
        <v>#DIV/0!</v>
      </c>
    </row>
    <row r="284" spans="1:19" x14ac:dyDescent="0.25">
      <c r="A284" t="s">
        <v>68</v>
      </c>
      <c r="B284" t="s">
        <v>16</v>
      </c>
      <c r="D284" s="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>
        <f t="shared" si="64"/>
        <v>0</v>
      </c>
      <c r="S284" s="1" t="e">
        <f t="shared" si="65"/>
        <v>#DIV/0!</v>
      </c>
    </row>
    <row r="285" spans="1:19" x14ac:dyDescent="0.25">
      <c r="A285" t="s">
        <v>68</v>
      </c>
      <c r="B285" t="s">
        <v>17</v>
      </c>
      <c r="D285" s="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>
        <f t="shared" si="64"/>
        <v>0</v>
      </c>
      <c r="S285" s="1" t="e">
        <f t="shared" si="65"/>
        <v>#DIV/0!</v>
      </c>
    </row>
    <row r="286" spans="1:19" x14ac:dyDescent="0.25">
      <c r="A286" t="s">
        <v>68</v>
      </c>
      <c r="B286" t="s">
        <v>18</v>
      </c>
      <c r="D286" s="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>
        <f t="shared" si="64"/>
        <v>0</v>
      </c>
      <c r="S286" s="1" t="e">
        <f t="shared" si="65"/>
        <v>#DIV/0!</v>
      </c>
    </row>
    <row r="287" spans="1:19" x14ac:dyDescent="0.25">
      <c r="A287" t="s">
        <v>68</v>
      </c>
      <c r="B287" t="s">
        <v>19</v>
      </c>
      <c r="D287" s="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>
        <f t="shared" si="64"/>
        <v>0</v>
      </c>
      <c r="S287" s="1" t="e">
        <f t="shared" si="65"/>
        <v>#DIV/0!</v>
      </c>
    </row>
    <row r="288" spans="1:19" x14ac:dyDescent="0.25">
      <c r="A288" t="s">
        <v>68</v>
      </c>
      <c r="B288" t="s">
        <v>20</v>
      </c>
      <c r="D288" s="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>
        <f t="shared" si="64"/>
        <v>0</v>
      </c>
      <c r="S288" s="1" t="e">
        <f t="shared" si="65"/>
        <v>#DIV/0!</v>
      </c>
    </row>
    <row r="289" spans="1:19" x14ac:dyDescent="0.25">
      <c r="A289" t="s">
        <v>68</v>
      </c>
      <c r="B289" t="s">
        <v>21</v>
      </c>
      <c r="D289" s="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>
        <f t="shared" si="64"/>
        <v>0</v>
      </c>
      <c r="S289" s="1" t="e">
        <f t="shared" si="65"/>
        <v>#DIV/0!</v>
      </c>
    </row>
    <row r="290" spans="1:19" x14ac:dyDescent="0.25">
      <c r="A290" t="s">
        <v>68</v>
      </c>
      <c r="B290" t="s">
        <v>22</v>
      </c>
      <c r="D290" s="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>
        <f>SUM(E290:P290)</f>
        <v>0</v>
      </c>
      <c r="S290" s="1" t="e">
        <f t="shared" si="65"/>
        <v>#DIV/0!</v>
      </c>
    </row>
    <row r="291" spans="1:19" x14ac:dyDescent="0.25"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9" x14ac:dyDescent="0.25">
      <c r="A292" s="4" t="s">
        <v>69</v>
      </c>
      <c r="B292" s="8">
        <f>+E292/E$4</f>
        <v>0</v>
      </c>
      <c r="C292" s="9"/>
      <c r="E292" s="5">
        <f t="shared" ref="E292:P292" si="66">+SUM(E293:E302)</f>
        <v>0</v>
      </c>
      <c r="F292" s="5">
        <f t="shared" si="66"/>
        <v>0</v>
      </c>
      <c r="G292" s="5">
        <f t="shared" si="66"/>
        <v>0</v>
      </c>
      <c r="H292" s="5">
        <f t="shared" si="66"/>
        <v>0</v>
      </c>
      <c r="I292" s="5">
        <f t="shared" si="66"/>
        <v>0</v>
      </c>
      <c r="J292" s="5">
        <f t="shared" si="66"/>
        <v>0</v>
      </c>
      <c r="K292" s="5">
        <f t="shared" si="66"/>
        <v>0</v>
      </c>
      <c r="L292" s="5">
        <f t="shared" si="66"/>
        <v>0</v>
      </c>
      <c r="M292" s="5">
        <f t="shared" si="66"/>
        <v>0</v>
      </c>
      <c r="N292" s="5">
        <f t="shared" si="66"/>
        <v>0</v>
      </c>
      <c r="O292" s="5">
        <f t="shared" si="66"/>
        <v>0</v>
      </c>
      <c r="P292" s="5">
        <f t="shared" si="66"/>
        <v>0</v>
      </c>
      <c r="R292" s="5">
        <f>SUM(E292:P292)</f>
        <v>0</v>
      </c>
    </row>
    <row r="293" spans="1:19" x14ac:dyDescent="0.25">
      <c r="A293" t="s">
        <v>70</v>
      </c>
      <c r="B293" t="s">
        <v>13</v>
      </c>
      <c r="D293" s="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>
        <f t="shared" ref="R293:R301" si="67">SUM(E293:P293)</f>
        <v>0</v>
      </c>
      <c r="S293" s="1" t="e">
        <f>+R293/$R$316</f>
        <v>#DIV/0!</v>
      </c>
    </row>
    <row r="294" spans="1:19" x14ac:dyDescent="0.25">
      <c r="A294" t="s">
        <v>70</v>
      </c>
      <c r="B294" t="s">
        <v>14</v>
      </c>
      <c r="D294" s="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>
        <f t="shared" si="67"/>
        <v>0</v>
      </c>
      <c r="S294" s="1" t="e">
        <f t="shared" ref="S294:S302" si="68">+R294/$R$316</f>
        <v>#DIV/0!</v>
      </c>
    </row>
    <row r="295" spans="1:19" x14ac:dyDescent="0.25">
      <c r="A295" t="s">
        <v>70</v>
      </c>
      <c r="B295" t="s">
        <v>15</v>
      </c>
      <c r="D295" s="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>
        <f t="shared" si="67"/>
        <v>0</v>
      </c>
      <c r="S295" s="1" t="e">
        <f t="shared" si="68"/>
        <v>#DIV/0!</v>
      </c>
    </row>
    <row r="296" spans="1:19" x14ac:dyDescent="0.25">
      <c r="A296" t="s">
        <v>70</v>
      </c>
      <c r="B296" t="s">
        <v>16</v>
      </c>
      <c r="D296" s="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>
        <f t="shared" si="67"/>
        <v>0</v>
      </c>
      <c r="S296" s="1" t="e">
        <f t="shared" si="68"/>
        <v>#DIV/0!</v>
      </c>
    </row>
    <row r="297" spans="1:19" x14ac:dyDescent="0.25">
      <c r="A297" t="s">
        <v>70</v>
      </c>
      <c r="B297" t="s">
        <v>17</v>
      </c>
      <c r="D297" s="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>
        <f t="shared" si="67"/>
        <v>0</v>
      </c>
      <c r="S297" s="1" t="e">
        <f t="shared" si="68"/>
        <v>#DIV/0!</v>
      </c>
    </row>
    <row r="298" spans="1:19" x14ac:dyDescent="0.25">
      <c r="A298" t="s">
        <v>70</v>
      </c>
      <c r="B298" t="s">
        <v>18</v>
      </c>
      <c r="D298" s="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>
        <f t="shared" si="67"/>
        <v>0</v>
      </c>
      <c r="S298" s="1" t="e">
        <f t="shared" si="68"/>
        <v>#DIV/0!</v>
      </c>
    </row>
    <row r="299" spans="1:19" x14ac:dyDescent="0.25">
      <c r="A299" t="s">
        <v>70</v>
      </c>
      <c r="B299" t="s">
        <v>19</v>
      </c>
      <c r="D299" s="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>
        <f t="shared" si="67"/>
        <v>0</v>
      </c>
      <c r="S299" s="1" t="e">
        <f t="shared" si="68"/>
        <v>#DIV/0!</v>
      </c>
    </row>
    <row r="300" spans="1:19" x14ac:dyDescent="0.25">
      <c r="A300" t="s">
        <v>70</v>
      </c>
      <c r="B300" t="s">
        <v>20</v>
      </c>
      <c r="D300" s="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>
        <f t="shared" si="67"/>
        <v>0</v>
      </c>
      <c r="S300" s="1" t="e">
        <f t="shared" si="68"/>
        <v>#DIV/0!</v>
      </c>
    </row>
    <row r="301" spans="1:19" x14ac:dyDescent="0.25">
      <c r="A301" t="s">
        <v>70</v>
      </c>
      <c r="B301" t="s">
        <v>21</v>
      </c>
      <c r="D301" s="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>
        <f t="shared" si="67"/>
        <v>0</v>
      </c>
      <c r="S301" s="1" t="e">
        <f t="shared" si="68"/>
        <v>#DIV/0!</v>
      </c>
    </row>
    <row r="302" spans="1:19" x14ac:dyDescent="0.25">
      <c r="A302" t="s">
        <v>70</v>
      </c>
      <c r="B302" t="s">
        <v>22</v>
      </c>
      <c r="D302" s="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>
        <f>SUM(E302:P302)</f>
        <v>0</v>
      </c>
      <c r="S302" s="1" t="e">
        <f t="shared" si="68"/>
        <v>#DIV/0!</v>
      </c>
    </row>
    <row r="303" spans="1:19" x14ac:dyDescent="0.25"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9" x14ac:dyDescent="0.25">
      <c r="A304" s="4" t="s">
        <v>71</v>
      </c>
      <c r="B304" s="8">
        <f>+E304/E$4</f>
        <v>0</v>
      </c>
      <c r="C304" s="9"/>
      <c r="E304" s="5">
        <f t="shared" ref="E304:P304" si="69">+SUM(E305:E314)</f>
        <v>0</v>
      </c>
      <c r="F304" s="5">
        <f t="shared" si="69"/>
        <v>0</v>
      </c>
      <c r="G304" s="5">
        <f t="shared" si="69"/>
        <v>0</v>
      </c>
      <c r="H304" s="5">
        <f t="shared" si="69"/>
        <v>0</v>
      </c>
      <c r="I304" s="5">
        <f t="shared" si="69"/>
        <v>0</v>
      </c>
      <c r="J304" s="5">
        <f t="shared" si="69"/>
        <v>0</v>
      </c>
      <c r="K304" s="5">
        <f t="shared" si="69"/>
        <v>0</v>
      </c>
      <c r="L304" s="5">
        <f t="shared" si="69"/>
        <v>0</v>
      </c>
      <c r="M304" s="5">
        <f t="shared" si="69"/>
        <v>0</v>
      </c>
      <c r="N304" s="5">
        <f t="shared" si="69"/>
        <v>0</v>
      </c>
      <c r="O304" s="5">
        <f t="shared" si="69"/>
        <v>0</v>
      </c>
      <c r="P304" s="5">
        <f t="shared" si="69"/>
        <v>0</v>
      </c>
      <c r="R304" s="5">
        <f>SUM(E304:P304)</f>
        <v>0</v>
      </c>
    </row>
    <row r="305" spans="1:19" x14ac:dyDescent="0.25">
      <c r="A305" t="s">
        <v>72</v>
      </c>
      <c r="B305" t="s">
        <v>13</v>
      </c>
      <c r="D305" s="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>
        <f t="shared" ref="R305:R313" si="70">SUM(E305:P305)</f>
        <v>0</v>
      </c>
      <c r="S305" s="1" t="e">
        <f>+R305/$R$316</f>
        <v>#DIV/0!</v>
      </c>
    </row>
    <row r="306" spans="1:19" x14ac:dyDescent="0.25">
      <c r="A306" t="s">
        <v>72</v>
      </c>
      <c r="B306" t="s">
        <v>14</v>
      </c>
      <c r="D306" s="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>
        <f t="shared" si="70"/>
        <v>0</v>
      </c>
      <c r="S306" s="1" t="e">
        <f t="shared" ref="S306:S314" si="71">+R306/$R$316</f>
        <v>#DIV/0!</v>
      </c>
    </row>
    <row r="307" spans="1:19" x14ac:dyDescent="0.25">
      <c r="A307" t="s">
        <v>72</v>
      </c>
      <c r="B307" t="s">
        <v>15</v>
      </c>
      <c r="D307" s="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>
        <f t="shared" si="70"/>
        <v>0</v>
      </c>
      <c r="S307" s="1" t="e">
        <f t="shared" si="71"/>
        <v>#DIV/0!</v>
      </c>
    </row>
    <row r="308" spans="1:19" x14ac:dyDescent="0.25">
      <c r="A308" t="s">
        <v>72</v>
      </c>
      <c r="B308" t="s">
        <v>16</v>
      </c>
      <c r="D308" s="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>
        <f t="shared" si="70"/>
        <v>0</v>
      </c>
      <c r="S308" s="1" t="e">
        <f t="shared" si="71"/>
        <v>#DIV/0!</v>
      </c>
    </row>
    <row r="309" spans="1:19" x14ac:dyDescent="0.25">
      <c r="A309" t="s">
        <v>72</v>
      </c>
      <c r="B309" t="s">
        <v>17</v>
      </c>
      <c r="D309" s="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>
        <f t="shared" si="70"/>
        <v>0</v>
      </c>
      <c r="S309" s="1" t="e">
        <f t="shared" si="71"/>
        <v>#DIV/0!</v>
      </c>
    </row>
    <row r="310" spans="1:19" x14ac:dyDescent="0.25">
      <c r="A310" t="s">
        <v>72</v>
      </c>
      <c r="B310" t="s">
        <v>18</v>
      </c>
      <c r="D310" s="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>
        <f t="shared" si="70"/>
        <v>0</v>
      </c>
      <c r="S310" s="1" t="e">
        <f t="shared" si="71"/>
        <v>#DIV/0!</v>
      </c>
    </row>
    <row r="311" spans="1:19" x14ac:dyDescent="0.25">
      <c r="A311" t="s">
        <v>72</v>
      </c>
      <c r="B311" t="s">
        <v>19</v>
      </c>
      <c r="D311" s="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>
        <f t="shared" si="70"/>
        <v>0</v>
      </c>
      <c r="S311" s="1" t="e">
        <f t="shared" si="71"/>
        <v>#DIV/0!</v>
      </c>
    </row>
    <row r="312" spans="1:19" x14ac:dyDescent="0.25">
      <c r="A312" t="s">
        <v>72</v>
      </c>
      <c r="B312" t="s">
        <v>20</v>
      </c>
      <c r="D312" s="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>
        <f t="shared" si="70"/>
        <v>0</v>
      </c>
      <c r="S312" s="1" t="e">
        <f t="shared" si="71"/>
        <v>#DIV/0!</v>
      </c>
    </row>
    <row r="313" spans="1:19" x14ac:dyDescent="0.25">
      <c r="A313" t="s">
        <v>72</v>
      </c>
      <c r="B313" t="s">
        <v>21</v>
      </c>
      <c r="D313" s="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>
        <f t="shared" si="70"/>
        <v>0</v>
      </c>
      <c r="S313" s="1" t="e">
        <f t="shared" si="71"/>
        <v>#DIV/0!</v>
      </c>
    </row>
    <row r="314" spans="1:19" x14ac:dyDescent="0.25">
      <c r="A314" t="s">
        <v>72</v>
      </c>
      <c r="B314" t="s">
        <v>22</v>
      </c>
      <c r="D314" s="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>
        <f>SUM(E314:P314)</f>
        <v>0</v>
      </c>
      <c r="S314" s="1" t="e">
        <f t="shared" si="71"/>
        <v>#DIV/0!</v>
      </c>
    </row>
    <row r="315" spans="1:19" x14ac:dyDescent="0.25"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9" x14ac:dyDescent="0.25">
      <c r="A316" s="4" t="s">
        <v>73</v>
      </c>
      <c r="B316" s="8">
        <f>+E316/E$4</f>
        <v>0</v>
      </c>
      <c r="C316" s="9"/>
      <c r="E316" s="5">
        <f t="shared" ref="E316:P316" si="72">+SUM(E317:E326)</f>
        <v>0</v>
      </c>
      <c r="F316" s="5">
        <f t="shared" si="72"/>
        <v>0</v>
      </c>
      <c r="G316" s="5">
        <f t="shared" si="72"/>
        <v>0</v>
      </c>
      <c r="H316" s="5">
        <f t="shared" si="72"/>
        <v>0</v>
      </c>
      <c r="I316" s="5">
        <f t="shared" si="72"/>
        <v>0</v>
      </c>
      <c r="J316" s="5">
        <f t="shared" si="72"/>
        <v>0</v>
      </c>
      <c r="K316" s="5">
        <f t="shared" si="72"/>
        <v>0</v>
      </c>
      <c r="L316" s="5">
        <f t="shared" si="72"/>
        <v>0</v>
      </c>
      <c r="M316" s="5">
        <f t="shared" si="72"/>
        <v>0</v>
      </c>
      <c r="N316" s="5">
        <f t="shared" si="72"/>
        <v>0</v>
      </c>
      <c r="O316" s="5">
        <f t="shared" si="72"/>
        <v>0</v>
      </c>
      <c r="P316" s="5">
        <f t="shared" si="72"/>
        <v>0</v>
      </c>
      <c r="R316" s="5">
        <f t="shared" ref="R316:R326" si="73">SUM(E316:P316)</f>
        <v>0</v>
      </c>
    </row>
    <row r="317" spans="1:19" x14ac:dyDescent="0.25">
      <c r="A317" t="s">
        <v>74</v>
      </c>
      <c r="B317" t="s">
        <v>13</v>
      </c>
      <c r="D317" s="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>
        <f t="shared" si="73"/>
        <v>0</v>
      </c>
      <c r="S317" s="1" t="e">
        <f>+R317/$R$316</f>
        <v>#DIV/0!</v>
      </c>
    </row>
    <row r="318" spans="1:19" x14ac:dyDescent="0.25">
      <c r="A318" t="s">
        <v>74</v>
      </c>
      <c r="B318" t="s">
        <v>14</v>
      </c>
      <c r="D318" s="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>
        <f t="shared" si="73"/>
        <v>0</v>
      </c>
      <c r="S318" s="1" t="e">
        <f t="shared" ref="S318:S326" si="74">+R318/$R$316</f>
        <v>#DIV/0!</v>
      </c>
    </row>
    <row r="319" spans="1:19" x14ac:dyDescent="0.25">
      <c r="A319" t="s">
        <v>74</v>
      </c>
      <c r="B319" t="s">
        <v>15</v>
      </c>
      <c r="D319" s="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>
        <f t="shared" si="73"/>
        <v>0</v>
      </c>
      <c r="S319" s="1" t="e">
        <f t="shared" si="74"/>
        <v>#DIV/0!</v>
      </c>
    </row>
    <row r="320" spans="1:19" x14ac:dyDescent="0.25">
      <c r="A320" t="s">
        <v>74</v>
      </c>
      <c r="B320" t="s">
        <v>16</v>
      </c>
      <c r="D320" s="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>
        <f t="shared" si="73"/>
        <v>0</v>
      </c>
      <c r="S320" s="1" t="e">
        <f t="shared" si="74"/>
        <v>#DIV/0!</v>
      </c>
    </row>
    <row r="321" spans="1:19" x14ac:dyDescent="0.25">
      <c r="A321" t="s">
        <v>74</v>
      </c>
      <c r="B321" t="s">
        <v>17</v>
      </c>
      <c r="D321" s="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>
        <f t="shared" si="73"/>
        <v>0</v>
      </c>
      <c r="S321" s="1" t="e">
        <f t="shared" si="74"/>
        <v>#DIV/0!</v>
      </c>
    </row>
    <row r="322" spans="1:19" x14ac:dyDescent="0.25">
      <c r="A322" t="s">
        <v>74</v>
      </c>
      <c r="B322" t="s">
        <v>18</v>
      </c>
      <c r="D322" s="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>
        <f t="shared" si="73"/>
        <v>0</v>
      </c>
      <c r="S322" s="1" t="e">
        <f t="shared" si="74"/>
        <v>#DIV/0!</v>
      </c>
    </row>
    <row r="323" spans="1:19" x14ac:dyDescent="0.25">
      <c r="A323" t="s">
        <v>74</v>
      </c>
      <c r="B323" t="s">
        <v>19</v>
      </c>
      <c r="D323" s="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>
        <f t="shared" si="73"/>
        <v>0</v>
      </c>
      <c r="S323" s="1" t="e">
        <f t="shared" si="74"/>
        <v>#DIV/0!</v>
      </c>
    </row>
    <row r="324" spans="1:19" x14ac:dyDescent="0.25">
      <c r="A324" t="s">
        <v>74</v>
      </c>
      <c r="B324" t="s">
        <v>20</v>
      </c>
      <c r="D324" s="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>
        <f t="shared" si="73"/>
        <v>0</v>
      </c>
      <c r="S324" s="1" t="e">
        <f t="shared" si="74"/>
        <v>#DIV/0!</v>
      </c>
    </row>
    <row r="325" spans="1:19" x14ac:dyDescent="0.25">
      <c r="A325" t="s">
        <v>74</v>
      </c>
      <c r="B325" t="s">
        <v>21</v>
      </c>
      <c r="D325" s="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>
        <f t="shared" si="73"/>
        <v>0</v>
      </c>
      <c r="S325" s="1" t="e">
        <f t="shared" si="74"/>
        <v>#DIV/0!</v>
      </c>
    </row>
    <row r="326" spans="1:19" x14ac:dyDescent="0.25">
      <c r="A326" t="s">
        <v>74</v>
      </c>
      <c r="B326" t="s">
        <v>22</v>
      </c>
      <c r="D326" s="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>
        <f t="shared" si="73"/>
        <v>0</v>
      </c>
      <c r="S326" s="1" t="e">
        <f t="shared" si="74"/>
        <v>#DIV/0!</v>
      </c>
    </row>
    <row r="327" spans="1:19" x14ac:dyDescent="0.25"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Agences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FOHOM</dc:creator>
  <cp:lastModifiedBy>William FOHOM</cp:lastModifiedBy>
  <dcterms:created xsi:type="dcterms:W3CDTF">2026-04-08T10:26:26Z</dcterms:created>
  <dcterms:modified xsi:type="dcterms:W3CDTF">2026-04-08T10:30:30Z</dcterms:modified>
</cp:coreProperties>
</file>