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OUTEN\Downloads\"/>
    </mc:Choice>
  </mc:AlternateContent>
  <xr:revisionPtr revIDLastSave="0" documentId="13_ncr:1_{EB420831-05C4-48AC-9BC2-B85088A599D2}" xr6:coauthVersionLast="47" xr6:coauthVersionMax="47" xr10:uidLastSave="{00000000-0000-0000-0000-000000000000}"/>
  <bookViews>
    <workbookView xWindow="-120" yWindow="-120" windowWidth="20730" windowHeight="11040" activeTab="2" xr2:uid="{62CD4413-7947-4680-BA60-3A5D475DB6DE}"/>
  </bookViews>
  <sheets>
    <sheet name="CAHT par agence A" sheetId="1" r:id="rId1"/>
    <sheet name="Ventes par produits A" sheetId="3" r:id="rId2"/>
    <sheet name="Vente en volume A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" i="4" l="1"/>
  <c r="D30" i="4"/>
  <c r="G29" i="4"/>
  <c r="F29" i="4"/>
  <c r="G28" i="4"/>
  <c r="F28" i="4"/>
  <c r="G27" i="4"/>
  <c r="F27" i="4"/>
  <c r="G26" i="4"/>
  <c r="F26" i="4"/>
  <c r="G25" i="4"/>
  <c r="F25" i="4"/>
  <c r="G24" i="4"/>
  <c r="F24" i="4"/>
  <c r="O53" i="3"/>
  <c r="Q53" i="3"/>
  <c r="P53" i="3"/>
  <c r="P54" i="3"/>
  <c r="Q54" i="3" s="1"/>
  <c r="P52" i="3"/>
  <c r="Q52" i="3" s="1"/>
  <c r="P51" i="3"/>
  <c r="Q51" i="3" s="1"/>
  <c r="P50" i="3"/>
  <c r="Q50" i="3" s="1"/>
  <c r="L55" i="3"/>
  <c r="M53" i="3" s="1"/>
  <c r="N55" i="3"/>
  <c r="O54" i="3" s="1"/>
  <c r="P48" i="3"/>
  <c r="Q48" i="3" s="1"/>
  <c r="P47" i="3"/>
  <c r="Q47" i="3" s="1"/>
  <c r="P46" i="3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D131" i="1"/>
  <c r="E130" i="1" s="1"/>
  <c r="B131" i="1"/>
  <c r="F130" i="1"/>
  <c r="G130" i="1" s="1"/>
  <c r="C130" i="1"/>
  <c r="F129" i="1"/>
  <c r="G129" i="1" s="1"/>
  <c r="C129" i="1"/>
  <c r="F128" i="1"/>
  <c r="G128" i="1" s="1"/>
  <c r="C128" i="1"/>
  <c r="F127" i="1"/>
  <c r="G127" i="1" s="1"/>
  <c r="E127" i="1"/>
  <c r="C127" i="1"/>
  <c r="F126" i="1"/>
  <c r="G126" i="1" s="1"/>
  <c r="C126" i="1"/>
  <c r="F125" i="1"/>
  <c r="G125" i="1" s="1"/>
  <c r="C125" i="1"/>
  <c r="F124" i="1"/>
  <c r="G124" i="1" s="1"/>
  <c r="C124" i="1"/>
  <c r="F123" i="1"/>
  <c r="G123" i="1" s="1"/>
  <c r="C123" i="1"/>
  <c r="F122" i="1"/>
  <c r="G122" i="1" s="1"/>
  <c r="C122" i="1"/>
  <c r="F121" i="1"/>
  <c r="G121" i="1" s="1"/>
  <c r="E121" i="1"/>
  <c r="C121" i="1"/>
  <c r="F120" i="1"/>
  <c r="G120" i="1" s="1"/>
  <c r="C120" i="1"/>
  <c r="F119" i="1"/>
  <c r="G119" i="1" s="1"/>
  <c r="C119" i="1"/>
  <c r="F118" i="1"/>
  <c r="G118" i="1" s="1"/>
  <c r="C118" i="1"/>
  <c r="F117" i="1"/>
  <c r="G117" i="1" s="1"/>
  <c r="C117" i="1"/>
  <c r="F39" i="3"/>
  <c r="G39" i="3" s="1"/>
  <c r="G15" i="4"/>
  <c r="F16" i="4"/>
  <c r="F17" i="4"/>
  <c r="F18" i="4"/>
  <c r="F19" i="4"/>
  <c r="F20" i="4"/>
  <c r="F15" i="4"/>
  <c r="E125" i="1" l="1"/>
  <c r="F30" i="4"/>
  <c r="G30" i="4"/>
  <c r="M136" i="1"/>
  <c r="C131" i="1"/>
  <c r="M141" i="1"/>
  <c r="M144" i="1"/>
  <c r="K149" i="1"/>
  <c r="N144" i="1" s="1"/>
  <c r="E129" i="1"/>
  <c r="E119" i="1"/>
  <c r="E123" i="1"/>
  <c r="E117" i="1"/>
  <c r="O52" i="3"/>
  <c r="O50" i="3"/>
  <c r="O48" i="3"/>
  <c r="O46" i="3"/>
  <c r="O47" i="3"/>
  <c r="O51" i="3"/>
  <c r="M52" i="3"/>
  <c r="M50" i="3"/>
  <c r="M48" i="3"/>
  <c r="M46" i="3"/>
  <c r="M47" i="3"/>
  <c r="M49" i="3"/>
  <c r="M54" i="3"/>
  <c r="M51" i="3"/>
  <c r="O49" i="3"/>
  <c r="P49" i="3"/>
  <c r="Q49" i="3" s="1"/>
  <c r="Q46" i="3"/>
  <c r="F131" i="1"/>
  <c r="G131" i="1" s="1"/>
  <c r="E118" i="1"/>
  <c r="E120" i="1"/>
  <c r="E122" i="1"/>
  <c r="E124" i="1"/>
  <c r="E126" i="1"/>
  <c r="E128" i="1"/>
  <c r="G20" i="4"/>
  <c r="G19" i="4"/>
  <c r="G18" i="4"/>
  <c r="G17" i="4"/>
  <c r="G16" i="4"/>
  <c r="F21" i="4"/>
  <c r="D21" i="4"/>
  <c r="G21" i="4" s="1"/>
  <c r="E21" i="4"/>
  <c r="F37" i="3"/>
  <c r="G37" i="3" s="1"/>
  <c r="D41" i="3"/>
  <c r="N136" i="1" l="1"/>
  <c r="M149" i="1"/>
  <c r="N149" i="1" s="1"/>
  <c r="N141" i="1"/>
  <c r="E131" i="1"/>
  <c r="E40" i="3"/>
  <c r="E39" i="3"/>
  <c r="O55" i="3"/>
  <c r="P55" i="3"/>
  <c r="Q55" i="3" s="1"/>
  <c r="M55" i="3"/>
  <c r="F34" i="3"/>
  <c r="G34" i="3" s="1"/>
  <c r="E32" i="3"/>
  <c r="E33" i="3"/>
  <c r="E34" i="3"/>
  <c r="E35" i="3"/>
  <c r="E36" i="3"/>
  <c r="E37" i="3"/>
  <c r="E38" i="3"/>
  <c r="F32" i="3"/>
  <c r="G32" i="3" s="1"/>
  <c r="F40" i="3" l="1"/>
  <c r="G40" i="3" s="1"/>
  <c r="F35" i="3"/>
  <c r="G35" i="3" s="1"/>
  <c r="F36" i="3"/>
  <c r="G36" i="3" s="1"/>
  <c r="F33" i="3"/>
  <c r="G33" i="3" s="1"/>
  <c r="F38" i="3"/>
  <c r="G38" i="3" s="1"/>
  <c r="E41" i="3"/>
  <c r="K112" i="1" l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D95" i="1"/>
  <c r="E94" i="1" s="1"/>
  <c r="B95" i="1"/>
  <c r="F94" i="1"/>
  <c r="G94" i="1" s="1"/>
  <c r="F93" i="1"/>
  <c r="G93" i="1" s="1"/>
  <c r="F92" i="1"/>
  <c r="G92" i="1" s="1"/>
  <c r="F91" i="1"/>
  <c r="G91" i="1" s="1"/>
  <c r="F90" i="1"/>
  <c r="G90" i="1" s="1"/>
  <c r="F89" i="1"/>
  <c r="G89" i="1" s="1"/>
  <c r="F88" i="1"/>
  <c r="G88" i="1" s="1"/>
  <c r="F87" i="1"/>
  <c r="G87" i="1" s="1"/>
  <c r="F86" i="1"/>
  <c r="G86" i="1" s="1"/>
  <c r="E86" i="1"/>
  <c r="F85" i="1"/>
  <c r="G85" i="1" s="1"/>
  <c r="F84" i="1"/>
  <c r="G84" i="1" s="1"/>
  <c r="E84" i="1"/>
  <c r="F83" i="1"/>
  <c r="G83" i="1" s="1"/>
  <c r="F82" i="1"/>
  <c r="G82" i="1" s="1"/>
  <c r="F81" i="1"/>
  <c r="G81" i="1" s="1"/>
  <c r="E81" i="1"/>
  <c r="E92" i="1" l="1"/>
  <c r="E82" i="1"/>
  <c r="E88" i="1"/>
  <c r="C90" i="1"/>
  <c r="C82" i="1"/>
  <c r="C93" i="1"/>
  <c r="C89" i="1"/>
  <c r="C88" i="1"/>
  <c r="C85" i="1"/>
  <c r="C87" i="1"/>
  <c r="C94" i="1"/>
  <c r="C86" i="1"/>
  <c r="C92" i="1"/>
  <c r="C84" i="1"/>
  <c r="C91" i="1"/>
  <c r="C83" i="1"/>
  <c r="C81" i="1"/>
  <c r="E90" i="1"/>
  <c r="M105" i="1"/>
  <c r="F95" i="1"/>
  <c r="G95" i="1" s="1"/>
  <c r="K113" i="1"/>
  <c r="M108" i="1"/>
  <c r="M100" i="1"/>
  <c r="E83" i="1"/>
  <c r="E95" i="1" s="1"/>
  <c r="E85" i="1"/>
  <c r="E87" i="1"/>
  <c r="E89" i="1"/>
  <c r="E91" i="1"/>
  <c r="E93" i="1"/>
  <c r="D12" i="4"/>
  <c r="E12" i="4"/>
  <c r="F12" i="4"/>
  <c r="G12" i="4"/>
  <c r="F4" i="3"/>
  <c r="G4" i="3" s="1"/>
  <c r="F5" i="3"/>
  <c r="G5" i="3" s="1"/>
  <c r="F6" i="3"/>
  <c r="G6" i="3" s="1"/>
  <c r="F7" i="3"/>
  <c r="G7" i="3" s="1"/>
  <c r="F8" i="3"/>
  <c r="G8" i="3" s="1"/>
  <c r="F10" i="3"/>
  <c r="G10" i="3" s="1"/>
  <c r="D12" i="3"/>
  <c r="E9" i="3" s="1"/>
  <c r="P19" i="3"/>
  <c r="Q19" i="3" s="1"/>
  <c r="P20" i="3"/>
  <c r="Q20" i="3" s="1"/>
  <c r="P21" i="3"/>
  <c r="Q21" i="3" s="1"/>
  <c r="L23" i="3"/>
  <c r="L27" i="3" s="1"/>
  <c r="P24" i="3"/>
  <c r="Q24" i="3" s="1"/>
  <c r="P25" i="3"/>
  <c r="Q25" i="3" s="1"/>
  <c r="K76" i="1"/>
  <c r="K75" i="1"/>
  <c r="K74" i="1"/>
  <c r="K73" i="1"/>
  <c r="K72" i="1"/>
  <c r="K71" i="1"/>
  <c r="K70" i="1"/>
  <c r="M69" i="1" s="1"/>
  <c r="K69" i="1"/>
  <c r="K68" i="1"/>
  <c r="K67" i="1"/>
  <c r="K66" i="1"/>
  <c r="K65" i="1"/>
  <c r="K64" i="1"/>
  <c r="K63" i="1"/>
  <c r="B59" i="1"/>
  <c r="C56" i="1" s="1"/>
  <c r="F58" i="1"/>
  <c r="F57" i="1"/>
  <c r="G57" i="1" s="1"/>
  <c r="C57" i="1"/>
  <c r="F56" i="1"/>
  <c r="G56" i="1" s="1"/>
  <c r="D56" i="1"/>
  <c r="F55" i="1"/>
  <c r="G55" i="1" s="1"/>
  <c r="C55" i="1"/>
  <c r="F54" i="1"/>
  <c r="G54" i="1" s="1"/>
  <c r="C54" i="1"/>
  <c r="G53" i="1"/>
  <c r="F53" i="1"/>
  <c r="F52" i="1"/>
  <c r="G52" i="1" s="1"/>
  <c r="F51" i="1"/>
  <c r="G51" i="1" s="1"/>
  <c r="C51" i="1"/>
  <c r="F50" i="1"/>
  <c r="G50" i="1" s="1"/>
  <c r="F49" i="1"/>
  <c r="G49" i="1" s="1"/>
  <c r="F48" i="1"/>
  <c r="G48" i="1" s="1"/>
  <c r="F47" i="1"/>
  <c r="G47" i="1" s="1"/>
  <c r="F46" i="1"/>
  <c r="G46" i="1" s="1"/>
  <c r="C46" i="1"/>
  <c r="F45" i="1"/>
  <c r="D44" i="1"/>
  <c r="D59" i="1" s="1"/>
  <c r="C44" i="1"/>
  <c r="K36" i="1"/>
  <c r="K34" i="1"/>
  <c r="K33" i="1"/>
  <c r="K32" i="1"/>
  <c r="K31" i="1"/>
  <c r="K30" i="1"/>
  <c r="K29" i="1"/>
  <c r="M29" i="1" s="1"/>
  <c r="K28" i="1"/>
  <c r="K27" i="1"/>
  <c r="K26" i="1"/>
  <c r="K25" i="1"/>
  <c r="K24" i="1"/>
  <c r="D19" i="1"/>
  <c r="E18" i="1" s="1"/>
  <c r="F18" i="1"/>
  <c r="G18" i="1" s="1"/>
  <c r="F17" i="1"/>
  <c r="G17" i="1" s="1"/>
  <c r="B16" i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B4" i="1"/>
  <c r="K23" i="1" s="1"/>
  <c r="K77" i="1" l="1"/>
  <c r="N69" i="1"/>
  <c r="F44" i="1"/>
  <c r="G44" i="1" s="1"/>
  <c r="C48" i="1"/>
  <c r="C52" i="1"/>
  <c r="M72" i="1"/>
  <c r="N72" i="1" s="1"/>
  <c r="C45" i="1"/>
  <c r="C49" i="1"/>
  <c r="N105" i="1"/>
  <c r="N108" i="1"/>
  <c r="E4" i="3"/>
  <c r="C95" i="1"/>
  <c r="N100" i="1"/>
  <c r="M113" i="1"/>
  <c r="N113" i="1" s="1"/>
  <c r="B12" i="3"/>
  <c r="C10" i="3" s="1"/>
  <c r="N22" i="3"/>
  <c r="P22" i="3" s="1"/>
  <c r="Q22" i="3" s="1"/>
  <c r="M23" i="3"/>
  <c r="M21" i="3"/>
  <c r="M25" i="3"/>
  <c r="M22" i="3"/>
  <c r="M26" i="3"/>
  <c r="M19" i="3"/>
  <c r="M24" i="3"/>
  <c r="M20" i="3"/>
  <c r="E8" i="3"/>
  <c r="E5" i="3"/>
  <c r="E7" i="3"/>
  <c r="E10" i="3"/>
  <c r="P23" i="3"/>
  <c r="Q23" i="3" s="1"/>
  <c r="F9" i="3"/>
  <c r="G9" i="3" s="1"/>
  <c r="E6" i="3"/>
  <c r="E56" i="1"/>
  <c r="E53" i="1"/>
  <c r="E50" i="1"/>
  <c r="E47" i="1"/>
  <c r="E48" i="1"/>
  <c r="E58" i="1"/>
  <c r="E55" i="1"/>
  <c r="E52" i="1"/>
  <c r="E49" i="1"/>
  <c r="E46" i="1"/>
  <c r="E57" i="1"/>
  <c r="E54" i="1"/>
  <c r="E51" i="1"/>
  <c r="E45" i="1"/>
  <c r="M24" i="1"/>
  <c r="C16" i="1"/>
  <c r="K35" i="1"/>
  <c r="M32" i="1" s="1"/>
  <c r="G45" i="1"/>
  <c r="M64" i="1"/>
  <c r="F16" i="1"/>
  <c r="G16" i="1" s="1"/>
  <c r="B19" i="1"/>
  <c r="E4" i="1"/>
  <c r="E7" i="1"/>
  <c r="E10" i="1"/>
  <c r="E13" i="1"/>
  <c r="F4" i="1"/>
  <c r="E16" i="1"/>
  <c r="C47" i="1"/>
  <c r="C50" i="1"/>
  <c r="C53" i="1"/>
  <c r="E5" i="1"/>
  <c r="E8" i="1"/>
  <c r="E11" i="1"/>
  <c r="E14" i="1"/>
  <c r="E17" i="1"/>
  <c r="E44" i="1"/>
  <c r="E6" i="1"/>
  <c r="E9" i="1"/>
  <c r="E12" i="1"/>
  <c r="E15" i="1"/>
  <c r="C59" i="1" l="1"/>
  <c r="F59" i="1"/>
  <c r="G59" i="1" s="1"/>
  <c r="E12" i="3"/>
  <c r="N27" i="3"/>
  <c r="O24" i="3" s="1"/>
  <c r="O20" i="3"/>
  <c r="O21" i="3"/>
  <c r="C4" i="3"/>
  <c r="O22" i="3"/>
  <c r="F12" i="3"/>
  <c r="G12" i="3" s="1"/>
  <c r="C9" i="3"/>
  <c r="P27" i="3"/>
  <c r="C6" i="3"/>
  <c r="C8" i="3"/>
  <c r="C5" i="3"/>
  <c r="C7" i="3"/>
  <c r="M27" i="3"/>
  <c r="K37" i="1"/>
  <c r="N29" i="1" s="1"/>
  <c r="E59" i="1"/>
  <c r="N24" i="1"/>
  <c r="M37" i="1"/>
  <c r="N37" i="1" s="1"/>
  <c r="M77" i="1"/>
  <c r="N77" i="1" s="1"/>
  <c r="N64" i="1"/>
  <c r="F19" i="1"/>
  <c r="G19" i="1" s="1"/>
  <c r="G4" i="1"/>
  <c r="E19" i="1"/>
  <c r="C15" i="1"/>
  <c r="C12" i="1"/>
  <c r="C9" i="1"/>
  <c r="C6" i="1"/>
  <c r="C17" i="1"/>
  <c r="C14" i="1"/>
  <c r="C11" i="1"/>
  <c r="C8" i="1"/>
  <c r="C5" i="1"/>
  <c r="C10" i="1"/>
  <c r="C7" i="1"/>
  <c r="C13" i="1"/>
  <c r="C4" i="1"/>
  <c r="Q27" i="3" l="1"/>
  <c r="O19" i="3"/>
  <c r="O23" i="3"/>
  <c r="O25" i="3"/>
  <c r="C12" i="3"/>
  <c r="C19" i="1"/>
  <c r="N32" i="1"/>
  <c r="O27" i="3" l="1"/>
  <c r="F41" i="3"/>
  <c r="G41" i="3" s="1"/>
  <c r="B41" i="3"/>
  <c r="C39" i="3" l="1"/>
  <c r="C37" i="3"/>
  <c r="C34" i="3"/>
  <c r="C40" i="3"/>
  <c r="C38" i="3"/>
  <c r="C35" i="3"/>
  <c r="C36" i="3"/>
  <c r="C33" i="3"/>
  <c r="C32" i="3"/>
  <c r="C41" i="3" l="1"/>
</calcChain>
</file>

<file path=xl/sharedStrings.xml><?xml version="1.0" encoding="utf-8"?>
<sst xmlns="http://schemas.openxmlformats.org/spreadsheetml/2006/main" count="319" uniqueCount="57">
  <si>
    <t>AGENCES</t>
  </si>
  <si>
    <t>Variation</t>
  </si>
  <si>
    <t>En FCFA</t>
  </si>
  <si>
    <t>%</t>
  </si>
  <si>
    <t>En Valeur</t>
  </si>
  <si>
    <t>En %</t>
  </si>
  <si>
    <t>YAOUNDE-MESSASI</t>
  </si>
  <si>
    <t>YAOUNDE-AHALA</t>
  </si>
  <si>
    <t>YAOUNDE-NKOABANG</t>
  </si>
  <si>
    <t>YAOUNDE-NKOLBISSON</t>
  </si>
  <si>
    <t>BERTOUA</t>
  </si>
  <si>
    <t>NGAOUNDERE</t>
  </si>
  <si>
    <t>BAFOUSSAM-FAMLA</t>
  </si>
  <si>
    <t>BAFOUSSAM-DJELENG</t>
  </si>
  <si>
    <t>BAMENDA</t>
  </si>
  <si>
    <t>NKONGSAMBA</t>
  </si>
  <si>
    <t>BUEA</t>
  </si>
  <si>
    <t>DOUALA-AXE LOURD</t>
  </si>
  <si>
    <t>DOUALA-SIEGE</t>
  </si>
  <si>
    <t>DOUALA-PK11</t>
  </si>
  <si>
    <t>SPC</t>
  </si>
  <si>
    <t>Total</t>
  </si>
  <si>
    <t>REGIONS</t>
  </si>
  <si>
    <t xml:space="preserve">CAHT </t>
  </si>
  <si>
    <t>CENTRE-SUD-EST-GRAND NORD</t>
  </si>
  <si>
    <t>OUEST-NORD OUEST</t>
  </si>
  <si>
    <t>LITTORAL-SUD OUEST</t>
  </si>
  <si>
    <t>MAIS</t>
  </si>
  <si>
    <t>PRODUITS ACCESSOIRES</t>
  </si>
  <si>
    <t>VENTES DIVERSES</t>
  </si>
  <si>
    <t>VENTES CONCENTRES</t>
  </si>
  <si>
    <t>ALIMENTS POISSON &amp; CHICK &amp; PIGLET BOOSTER</t>
  </si>
  <si>
    <t>VENTES MATERIEL ELEVAGE</t>
  </si>
  <si>
    <t>VENTES INGREDIENTS</t>
  </si>
  <si>
    <t>VENTES TOURTEAU SOJA</t>
  </si>
  <si>
    <t>RUBRIQUES</t>
  </si>
  <si>
    <t>TOTAL</t>
  </si>
  <si>
    <t>VENTES ALIMENTS COMPLETS</t>
  </si>
  <si>
    <t>VENTES MAIS</t>
  </si>
  <si>
    <t>VARIATION</t>
  </si>
  <si>
    <t>VENTES EN VOLUMES</t>
  </si>
  <si>
    <t>AGENCE NKOABANG</t>
  </si>
  <si>
    <t>AGENCE FAMLA</t>
  </si>
  <si>
    <t>AGENCE VILLAGE</t>
  </si>
  <si>
    <t>AGENCE MESSASSI</t>
  </si>
  <si>
    <t>AGENCE NGAOUNDERE</t>
  </si>
  <si>
    <t>AGENCE NDOBO</t>
  </si>
  <si>
    <t>AGENCE DJELENG</t>
  </si>
  <si>
    <t>AGENCE NKOLBISSON</t>
  </si>
  <si>
    <t>AGENCE BUEA</t>
  </si>
  <si>
    <t>AGENCE DE BAMENDA - DEPOT MBOUDA</t>
  </si>
  <si>
    <t>AGENCE BERTOUA</t>
  </si>
  <si>
    <t>AGENCE NKONGSAMBA</t>
  </si>
  <si>
    <t>AGENCE PK11</t>
  </si>
  <si>
    <t>AGENCE AHALA</t>
  </si>
  <si>
    <t>,,,,,,,,,,</t>
  </si>
  <si>
    <t>ALVEOLES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</si>
</sst>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Maiandra GD"/>
      <family val="2"/>
    </font>
    <font>
      <sz val="11"/>
      <color theme="1"/>
      <name val="Maiandra GD"/>
      <family val="2"/>
    </font>
    <font>
      <sz val="11"/>
      <name val="Maiandra GD"/>
      <family val="2"/>
    </font>
    <font>
      <b/>
      <sz val="11"/>
      <name val="Maiandra GD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0">
    <xf numFmtId="0" fontId="0" fillId="0" borderId="0" xfId="0"/>
    <xf numFmtId="14" fontId="2" fillId="0" borderId="3" xfId="0" applyNumberFormat="1" applyFont="1" applyBorder="1" applyAlignment="1">
      <alignment horizontal="center"/>
    </xf>
    <xf numFmtId="14" fontId="2" fillId="0" borderId="4" xfId="0" applyNumberFormat="1" applyFont="1" applyBorder="1"/>
    <xf numFmtId="14" fontId="2" fillId="0" borderId="2" xfId="0" applyNumberFormat="1" applyFont="1" applyBorder="1"/>
    <xf numFmtId="0" fontId="3" fillId="0" borderId="0" xfId="0" applyFont="1"/>
    <xf numFmtId="10" fontId="2" fillId="0" borderId="4" xfId="0" applyNumberFormat="1" applyFont="1" applyBorder="1"/>
    <xf numFmtId="0" fontId="2" fillId="0" borderId="4" xfId="0" applyFont="1" applyBorder="1" applyAlignment="1">
      <alignment horizontal="center"/>
    </xf>
    <xf numFmtId="10" fontId="2" fillId="0" borderId="4" xfId="0" applyNumberFormat="1" applyFont="1" applyBorder="1" applyAlignment="1">
      <alignment horizontal="center"/>
    </xf>
    <xf numFmtId="0" fontId="3" fillId="0" borderId="4" xfId="0" applyFont="1" applyBorder="1"/>
    <xf numFmtId="3" fontId="3" fillId="0" borderId="4" xfId="0" applyNumberFormat="1" applyFont="1" applyBorder="1"/>
    <xf numFmtId="10" fontId="3" fillId="0" borderId="4" xfId="0" applyNumberFormat="1" applyFont="1" applyBorder="1"/>
    <xf numFmtId="3" fontId="2" fillId="0" borderId="4" xfId="0" applyNumberFormat="1" applyFont="1" applyBorder="1"/>
    <xf numFmtId="10" fontId="3" fillId="0" borderId="0" xfId="0" applyNumberFormat="1" applyFont="1"/>
    <xf numFmtId="3" fontId="0" fillId="0" borderId="0" xfId="0" applyNumberFormat="1"/>
    <xf numFmtId="10" fontId="4" fillId="0" borderId="4" xfId="0" applyNumberFormat="1" applyFont="1" applyBorder="1"/>
    <xf numFmtId="3" fontId="5" fillId="0" borderId="4" xfId="0" applyNumberFormat="1" applyFont="1" applyBorder="1"/>
    <xf numFmtId="10" fontId="5" fillId="0" borderId="4" xfId="0" applyNumberFormat="1" applyFont="1" applyBorder="1"/>
    <xf numFmtId="0" fontId="4" fillId="0" borderId="4" xfId="0" applyFont="1" applyBorder="1"/>
    <xf numFmtId="9" fontId="0" fillId="0" borderId="0" xfId="1" applyFont="1"/>
    <xf numFmtId="3" fontId="4" fillId="0" borderId="4" xfId="0" applyNumberFormat="1" applyFont="1" applyBorder="1"/>
    <xf numFmtId="3" fontId="6" fillId="0" borderId="0" xfId="0" applyNumberFormat="1" applyFont="1" applyAlignment="1">
      <alignment horizontal="right"/>
    </xf>
    <xf numFmtId="3" fontId="0" fillId="0" borderId="0" xfId="0" applyNumberFormat="1" applyAlignment="1">
      <alignment horizontal="right"/>
    </xf>
    <xf numFmtId="3" fontId="7" fillId="0" borderId="0" xfId="0" applyNumberFormat="1" applyFont="1" applyAlignment="1">
      <alignment horizontal="right"/>
    </xf>
    <xf numFmtId="49" fontId="7" fillId="0" borderId="0" xfId="0" applyNumberFormat="1" applyFont="1"/>
    <xf numFmtId="10" fontId="0" fillId="0" borderId="4" xfId="0" applyNumberFormat="1" applyBorder="1"/>
    <xf numFmtId="0" fontId="0" fillId="0" borderId="4" xfId="0" applyBorder="1"/>
    <xf numFmtId="3" fontId="7" fillId="0" borderId="4" xfId="0" applyNumberFormat="1" applyFont="1" applyBorder="1" applyAlignment="1">
      <alignment horizontal="right"/>
    </xf>
    <xf numFmtId="49" fontId="7" fillId="0" borderId="4" xfId="0" applyNumberFormat="1" applyFont="1" applyBorder="1"/>
    <xf numFmtId="9" fontId="0" fillId="0" borderId="4" xfId="0" applyNumberFormat="1" applyBorder="1"/>
    <xf numFmtId="0" fontId="8" fillId="0" borderId="4" xfId="0" applyFont="1" applyBorder="1"/>
    <xf numFmtId="3" fontId="6" fillId="0" borderId="4" xfId="0" applyNumberFormat="1" applyFont="1" applyBorder="1" applyAlignment="1">
      <alignment horizontal="right"/>
    </xf>
    <xf numFmtId="49" fontId="6" fillId="0" borderId="4" xfId="0" applyNumberFormat="1" applyFont="1" applyBorder="1"/>
    <xf numFmtId="14" fontId="2" fillId="0" borderId="3" xfId="0" applyNumberFormat="1" applyFont="1" applyBorder="1" applyAlignment="1">
      <alignment horizontal="center"/>
    </xf>
    <xf numFmtId="3" fontId="3" fillId="0" borderId="0" xfId="0" applyNumberFormat="1" applyFont="1"/>
    <xf numFmtId="3" fontId="0" fillId="0" borderId="4" xfId="0" applyNumberFormat="1" applyBorder="1"/>
    <xf numFmtId="168" fontId="0" fillId="0" borderId="4" xfId="0" applyNumberFormat="1" applyBorder="1"/>
    <xf numFmtId="3" fontId="3" fillId="0" borderId="1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3" fontId="3" fillId="0" borderId="5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/>
    </xf>
    <xf numFmtId="10" fontId="3" fillId="0" borderId="6" xfId="0" applyNumberFormat="1" applyFont="1" applyBorder="1" applyAlignment="1">
      <alignment horizontal="center"/>
    </xf>
    <xf numFmtId="10" fontId="3" fillId="0" borderId="5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14" fontId="2" fillId="0" borderId="5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14" fontId="2" fillId="0" borderId="3" xfId="0" applyNumberFormat="1" applyFont="1" applyBorder="1" applyAlignment="1">
      <alignment horizontal="center"/>
    </xf>
  </cellXfs>
  <cellStyles count="2">
    <cellStyle name="Normal" xfId="0" builtinId="0"/>
    <cellStyle name="Pourcentage 2" xfId="1" xr:uid="{C5B76D17-7F8D-4F58-B7A8-4ECDE42EE28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B7DFB-90D8-4094-B233-17FFC52C64DF}">
  <dimension ref="A2:N160"/>
  <sheetViews>
    <sheetView topLeftCell="B114" workbookViewId="0">
      <selection activeCell="K134" sqref="K134"/>
    </sheetView>
  </sheetViews>
  <sheetFormatPr baseColWidth="10" defaultRowHeight="15" x14ac:dyDescent="0.25"/>
  <cols>
    <col min="1" max="1" width="25.85546875" style="4" bestFit="1" customWidth="1"/>
    <col min="2" max="2" width="19.28515625" style="4" bestFit="1" customWidth="1"/>
    <col min="3" max="3" width="12.28515625" style="12" customWidth="1"/>
    <col min="4" max="4" width="19.28515625" style="4" bestFit="1" customWidth="1"/>
    <col min="5" max="5" width="11.140625" style="4" customWidth="1"/>
    <col min="6" max="6" width="23.140625" style="4" customWidth="1"/>
    <col min="7" max="9" width="11.42578125" style="4"/>
    <col min="10" max="10" width="25.85546875" style="4" bestFit="1" customWidth="1"/>
    <col min="11" max="11" width="20.28515625" style="4" customWidth="1"/>
    <col min="12" max="12" width="33" style="4" customWidth="1"/>
    <col min="13" max="13" width="19.28515625" style="4" customWidth="1"/>
    <col min="14" max="16384" width="11.42578125" style="4"/>
  </cols>
  <sheetData>
    <row r="2" spans="1:7" x14ac:dyDescent="0.25">
      <c r="A2" s="42" t="s">
        <v>0</v>
      </c>
      <c r="B2" s="48">
        <v>45291</v>
      </c>
      <c r="C2" s="49"/>
      <c r="D2" s="2">
        <v>44926</v>
      </c>
      <c r="E2" s="3"/>
      <c r="F2" s="46" t="s">
        <v>1</v>
      </c>
      <c r="G2" s="47"/>
    </row>
    <row r="3" spans="1:7" x14ac:dyDescent="0.25">
      <c r="A3" s="43"/>
      <c r="B3" s="1" t="s">
        <v>2</v>
      </c>
      <c r="C3" s="5" t="s">
        <v>3</v>
      </c>
      <c r="D3" s="1" t="s">
        <v>2</v>
      </c>
      <c r="E3" s="5" t="s">
        <v>3</v>
      </c>
      <c r="F3" s="6" t="s">
        <v>4</v>
      </c>
      <c r="G3" s="7" t="s">
        <v>5</v>
      </c>
    </row>
    <row r="4" spans="1:7" x14ac:dyDescent="0.25">
      <c r="A4" s="8" t="s">
        <v>6</v>
      </c>
      <c r="B4" s="9">
        <f>3366370000</f>
        <v>3366370000</v>
      </c>
      <c r="C4" s="10">
        <f>+B4/B19</f>
        <v>0.11597505199673624</v>
      </c>
      <c r="D4" s="9">
        <v>3598408958</v>
      </c>
      <c r="E4" s="10">
        <f>+D4/D19</f>
        <v>0.11759461540958585</v>
      </c>
      <c r="F4" s="9">
        <f t="shared" ref="F4:F18" si="0">+B4-D4</f>
        <v>-232038958</v>
      </c>
      <c r="G4" s="10">
        <f t="shared" ref="G4:G19" si="1">+F4/D4</f>
        <v>-6.448376510516679E-2</v>
      </c>
    </row>
    <row r="5" spans="1:7" x14ac:dyDescent="0.25">
      <c r="A5" s="8" t="s">
        <v>7</v>
      </c>
      <c r="B5" s="9">
        <v>1546070774</v>
      </c>
      <c r="C5" s="10">
        <f>+B5/B19</f>
        <v>5.3263794058669794E-2</v>
      </c>
      <c r="D5" s="9">
        <v>1516561445</v>
      </c>
      <c r="E5" s="10">
        <f>+D5/D19</f>
        <v>4.9560642481532191E-2</v>
      </c>
      <c r="F5" s="9">
        <f t="shared" si="0"/>
        <v>29509329</v>
      </c>
      <c r="G5" s="10">
        <f t="shared" si="1"/>
        <v>1.9458050379224826E-2</v>
      </c>
    </row>
    <row r="6" spans="1:7" x14ac:dyDescent="0.25">
      <c r="A6" s="8" t="s">
        <v>8</v>
      </c>
      <c r="B6" s="9">
        <v>772591875</v>
      </c>
      <c r="C6" s="10">
        <f>+B6/B19</f>
        <v>2.6616617565918467E-2</v>
      </c>
      <c r="D6" s="9">
        <v>862109204</v>
      </c>
      <c r="E6" s="10">
        <f>+D6/D19</f>
        <v>2.8173395928235735E-2</v>
      </c>
      <c r="F6" s="9">
        <f t="shared" si="0"/>
        <v>-89517329</v>
      </c>
      <c r="G6" s="10">
        <f t="shared" si="1"/>
        <v>-0.10383525495918496</v>
      </c>
    </row>
    <row r="7" spans="1:7" x14ac:dyDescent="0.25">
      <c r="A7" s="8" t="s">
        <v>9</v>
      </c>
      <c r="B7" s="9">
        <v>863422230</v>
      </c>
      <c r="C7" s="10">
        <f>+B7/B19</f>
        <v>2.9745820578067163E-2</v>
      </c>
      <c r="D7" s="9">
        <v>864150290</v>
      </c>
      <c r="E7" s="10">
        <f>+D7/D19</f>
        <v>2.8240097830656879E-2</v>
      </c>
      <c r="F7" s="9">
        <f t="shared" si="0"/>
        <v>-728060</v>
      </c>
      <c r="G7" s="10">
        <f t="shared" si="1"/>
        <v>-8.4251548419893491E-4</v>
      </c>
    </row>
    <row r="8" spans="1:7" x14ac:dyDescent="0.25">
      <c r="A8" s="8" t="s">
        <v>10</v>
      </c>
      <c r="B8" s="9">
        <v>1506653625</v>
      </c>
      <c r="C8" s="10">
        <f>+B8/B19</f>
        <v>5.1905831058512923E-2</v>
      </c>
      <c r="D8" s="9">
        <v>1513826790</v>
      </c>
      <c r="E8" s="10">
        <f>+D8/D19</f>
        <v>4.9471275011976526E-2</v>
      </c>
      <c r="F8" s="9">
        <f t="shared" si="0"/>
        <v>-7173165</v>
      </c>
      <c r="G8" s="10">
        <f t="shared" si="1"/>
        <v>-4.7384317990567465E-3</v>
      </c>
    </row>
    <row r="9" spans="1:7" x14ac:dyDescent="0.25">
      <c r="A9" s="8" t="s">
        <v>11</v>
      </c>
      <c r="B9" s="9">
        <v>789815215</v>
      </c>
      <c r="C9" s="10">
        <f>+B9/B19</f>
        <v>2.7209980075701249E-2</v>
      </c>
      <c r="D9" s="9">
        <v>793196237</v>
      </c>
      <c r="E9" s="10">
        <f>+D9/D19</f>
        <v>2.5921346773822063E-2</v>
      </c>
      <c r="F9" s="9">
        <f t="shared" si="0"/>
        <v>-3381022</v>
      </c>
      <c r="G9" s="10">
        <f t="shared" si="1"/>
        <v>-4.2625290467685362E-3</v>
      </c>
    </row>
    <row r="10" spans="1:7" x14ac:dyDescent="0.25">
      <c r="A10" s="8" t="s">
        <v>12</v>
      </c>
      <c r="B10" s="9">
        <v>7964120775</v>
      </c>
      <c r="C10" s="10">
        <f>+B10/B19</f>
        <v>0.27437249054290297</v>
      </c>
      <c r="D10" s="9">
        <v>7911066214</v>
      </c>
      <c r="E10" s="10">
        <f>+D10/D19</f>
        <v>0.25853058942810092</v>
      </c>
      <c r="F10" s="9">
        <f t="shared" si="0"/>
        <v>53054561</v>
      </c>
      <c r="G10" s="10">
        <f t="shared" si="1"/>
        <v>6.7063730178507138E-3</v>
      </c>
    </row>
    <row r="11" spans="1:7" x14ac:dyDescent="0.25">
      <c r="A11" s="8" t="s">
        <v>13</v>
      </c>
      <c r="B11" s="9">
        <v>1993522325</v>
      </c>
      <c r="C11" s="10">
        <f>+B11/B19</f>
        <v>6.8678979226445558E-2</v>
      </c>
      <c r="D11" s="9">
        <v>1980258696</v>
      </c>
      <c r="E11" s="10">
        <f>+D11/D19</f>
        <v>6.4714089611714445E-2</v>
      </c>
      <c r="F11" s="9">
        <f t="shared" si="0"/>
        <v>13263629</v>
      </c>
      <c r="G11" s="10">
        <f t="shared" si="1"/>
        <v>6.6979274105912071E-3</v>
      </c>
    </row>
    <row r="12" spans="1:7" x14ac:dyDescent="0.25">
      <c r="A12" s="8" t="s">
        <v>14</v>
      </c>
      <c r="B12" s="9">
        <v>557299290</v>
      </c>
      <c r="C12" s="10">
        <f>+B12/B19</f>
        <v>1.9199557426989367E-2</v>
      </c>
      <c r="D12" s="9">
        <v>971656258</v>
      </c>
      <c r="E12" s="10">
        <f>+D12/D19</f>
        <v>3.1753351357076999E-2</v>
      </c>
      <c r="F12" s="9">
        <f t="shared" si="0"/>
        <v>-414356968</v>
      </c>
      <c r="G12" s="10">
        <f t="shared" si="1"/>
        <v>-0.42644398632587205</v>
      </c>
    </row>
    <row r="13" spans="1:7" x14ac:dyDescent="0.25">
      <c r="A13" s="8" t="s">
        <v>15</v>
      </c>
      <c r="B13" s="9">
        <v>1091882440</v>
      </c>
      <c r="C13" s="10">
        <f>+B13/B19</f>
        <v>3.7616519501220379E-2</v>
      </c>
      <c r="D13" s="9">
        <v>1050670488</v>
      </c>
      <c r="E13" s="10">
        <f>+D13/D19</f>
        <v>3.4335505886255044E-2</v>
      </c>
      <c r="F13" s="9">
        <f t="shared" si="0"/>
        <v>41211952</v>
      </c>
      <c r="G13" s="10">
        <f t="shared" si="1"/>
        <v>3.9224430942615379E-2</v>
      </c>
    </row>
    <row r="14" spans="1:7" x14ac:dyDescent="0.25">
      <c r="A14" s="8" t="s">
        <v>16</v>
      </c>
      <c r="B14" s="9">
        <v>1277335515</v>
      </c>
      <c r="C14" s="10">
        <f>+B14/B19</f>
        <v>4.4005576561519634E-2</v>
      </c>
      <c r="D14" s="9">
        <v>1077927134</v>
      </c>
      <c r="E14" s="10">
        <f>+D14/D19</f>
        <v>3.5226242553803445E-2</v>
      </c>
      <c r="F14" s="9">
        <f t="shared" si="0"/>
        <v>199408381</v>
      </c>
      <c r="G14" s="10">
        <f t="shared" si="1"/>
        <v>0.18499244959168085</v>
      </c>
    </row>
    <row r="15" spans="1:7" x14ac:dyDescent="0.25">
      <c r="A15" s="8" t="s">
        <v>17</v>
      </c>
      <c r="B15" s="9">
        <v>1846475970</v>
      </c>
      <c r="C15" s="10">
        <f>+B15/B19</f>
        <v>6.3613074805049352E-2</v>
      </c>
      <c r="D15" s="9">
        <v>1455433676</v>
      </c>
      <c r="E15" s="10">
        <f>+D15/D19</f>
        <v>4.7563010591910544E-2</v>
      </c>
      <c r="F15" s="9">
        <f t="shared" si="0"/>
        <v>391042294</v>
      </c>
      <c r="G15" s="10">
        <f t="shared" si="1"/>
        <v>0.26867750859984912</v>
      </c>
    </row>
    <row r="16" spans="1:7" x14ac:dyDescent="0.25">
      <c r="A16" s="8" t="s">
        <v>18</v>
      </c>
      <c r="B16" s="9">
        <f>4575986650-6386967</f>
        <v>4569599683</v>
      </c>
      <c r="C16" s="10">
        <f>+B16/B19</f>
        <v>0.15742760327598998</v>
      </c>
      <c r="D16" s="9">
        <v>4961272346</v>
      </c>
      <c r="E16" s="10">
        <f>+D16/D19</f>
        <v>0.16213246473084278</v>
      </c>
      <c r="F16" s="9">
        <f t="shared" si="0"/>
        <v>-391672663</v>
      </c>
      <c r="G16" s="10">
        <f t="shared" si="1"/>
        <v>-7.8946011362545754E-2</v>
      </c>
    </row>
    <row r="17" spans="1:14" x14ac:dyDescent="0.25">
      <c r="A17" s="8" t="s">
        <v>19</v>
      </c>
      <c r="B17" s="9">
        <v>881514055</v>
      </c>
      <c r="C17" s="10">
        <f>+B17/B19</f>
        <v>3.0369103326276913E-2</v>
      </c>
      <c r="D17" s="9">
        <v>836340991</v>
      </c>
      <c r="E17" s="10">
        <f>+D17/D19</f>
        <v>2.7331300676446599E-2</v>
      </c>
      <c r="F17" s="9">
        <f t="shared" si="0"/>
        <v>45173064</v>
      </c>
      <c r="G17" s="10">
        <f t="shared" si="1"/>
        <v>5.4012734621541464E-2</v>
      </c>
    </row>
    <row r="18" spans="1:14" x14ac:dyDescent="0.25">
      <c r="A18" s="8" t="s">
        <v>20</v>
      </c>
      <c r="B18" s="9">
        <v>0</v>
      </c>
      <c r="C18" s="10"/>
      <c r="D18" s="9">
        <v>1207238000</v>
      </c>
      <c r="E18" s="10">
        <f>+D18/D19</f>
        <v>3.9452071728039981E-2</v>
      </c>
      <c r="F18" s="9">
        <f t="shared" si="0"/>
        <v>-1207238000</v>
      </c>
      <c r="G18" s="10">
        <f t="shared" si="1"/>
        <v>-1</v>
      </c>
    </row>
    <row r="19" spans="1:14" x14ac:dyDescent="0.25">
      <c r="A19" s="8" t="s">
        <v>21</v>
      </c>
      <c r="B19" s="11">
        <f>SUM(B4:B18)</f>
        <v>29026673772</v>
      </c>
      <c r="C19" s="5">
        <f>SUM(C4:C18)</f>
        <v>1</v>
      </c>
      <c r="D19" s="11">
        <f t="shared" ref="D19:F19" si="2">SUM(D4:D18)</f>
        <v>30600116727</v>
      </c>
      <c r="E19" s="5">
        <f>SUM(E4:E18)</f>
        <v>1</v>
      </c>
      <c r="F19" s="11">
        <f t="shared" si="2"/>
        <v>-1573442955</v>
      </c>
      <c r="G19" s="10">
        <f t="shared" si="1"/>
        <v>-5.1419508266505182E-2</v>
      </c>
    </row>
    <row r="20" spans="1:14" x14ac:dyDescent="0.25">
      <c r="G20" s="12"/>
    </row>
    <row r="21" spans="1:14" x14ac:dyDescent="0.25">
      <c r="J21" s="42" t="s">
        <v>0</v>
      </c>
      <c r="K21" s="2">
        <v>45291</v>
      </c>
      <c r="L21" s="44" t="s">
        <v>22</v>
      </c>
      <c r="M21" s="46" t="s">
        <v>23</v>
      </c>
      <c r="N21" s="47"/>
    </row>
    <row r="22" spans="1:14" x14ac:dyDescent="0.25">
      <c r="J22" s="43"/>
      <c r="K22" s="1" t="s">
        <v>2</v>
      </c>
      <c r="L22" s="45"/>
      <c r="M22" s="6" t="s">
        <v>4</v>
      </c>
      <c r="N22" s="7" t="s">
        <v>5</v>
      </c>
    </row>
    <row r="23" spans="1:14" x14ac:dyDescent="0.25">
      <c r="J23" s="8" t="s">
        <v>6</v>
      </c>
      <c r="K23" s="9">
        <f>+B4</f>
        <v>3366370000</v>
      </c>
      <c r="L23" s="36" t="s">
        <v>24</v>
      </c>
      <c r="M23" s="9"/>
      <c r="N23" s="10"/>
    </row>
    <row r="24" spans="1:14" x14ac:dyDescent="0.25">
      <c r="J24" s="8" t="s">
        <v>7</v>
      </c>
      <c r="K24" s="9">
        <f t="shared" ref="K24:K36" si="3">+B5</f>
        <v>1546070774</v>
      </c>
      <c r="L24" s="37"/>
      <c r="M24" s="36">
        <f>+K23+K24+K25+K26+K27+K28</f>
        <v>8844923719</v>
      </c>
      <c r="N24" s="39">
        <f>+M24/K37</f>
        <v>0.30471709533360586</v>
      </c>
    </row>
    <row r="25" spans="1:14" x14ac:dyDescent="0.25">
      <c r="J25" s="8" t="s">
        <v>8</v>
      </c>
      <c r="K25" s="9">
        <f t="shared" si="3"/>
        <v>772591875</v>
      </c>
      <c r="L25" s="37"/>
      <c r="M25" s="37"/>
      <c r="N25" s="40"/>
    </row>
    <row r="26" spans="1:14" x14ac:dyDescent="0.25">
      <c r="J26" s="8" t="s">
        <v>9</v>
      </c>
      <c r="K26" s="9">
        <f t="shared" si="3"/>
        <v>863422230</v>
      </c>
      <c r="L26" s="37"/>
      <c r="M26" s="37"/>
      <c r="N26" s="40"/>
    </row>
    <row r="27" spans="1:14" x14ac:dyDescent="0.25">
      <c r="J27" s="8" t="s">
        <v>10</v>
      </c>
      <c r="K27" s="9">
        <f t="shared" si="3"/>
        <v>1506653625</v>
      </c>
      <c r="L27" s="37"/>
      <c r="M27" s="37"/>
      <c r="N27" s="40"/>
    </row>
    <row r="28" spans="1:14" x14ac:dyDescent="0.25">
      <c r="J28" s="8" t="s">
        <v>11</v>
      </c>
      <c r="K28" s="9">
        <f t="shared" si="3"/>
        <v>789815215</v>
      </c>
      <c r="L28" s="38"/>
      <c r="M28" s="38"/>
      <c r="N28" s="41"/>
    </row>
    <row r="29" spans="1:14" x14ac:dyDescent="0.25">
      <c r="J29" s="8" t="s">
        <v>12</v>
      </c>
      <c r="K29" s="9">
        <f t="shared" si="3"/>
        <v>7964120775</v>
      </c>
      <c r="L29" s="36" t="s">
        <v>25</v>
      </c>
      <c r="M29" s="36">
        <f>+K29+K30+K31</f>
        <v>10514942390</v>
      </c>
      <c r="N29" s="39">
        <f>+M29/K37</f>
        <v>0.36225102719633789</v>
      </c>
    </row>
    <row r="30" spans="1:14" x14ac:dyDescent="0.25">
      <c r="J30" s="8" t="s">
        <v>13</v>
      </c>
      <c r="K30" s="9">
        <f t="shared" si="3"/>
        <v>1993522325</v>
      </c>
      <c r="L30" s="37"/>
      <c r="M30" s="37"/>
      <c r="N30" s="40"/>
    </row>
    <row r="31" spans="1:14" x14ac:dyDescent="0.25">
      <c r="J31" s="8" t="s">
        <v>14</v>
      </c>
      <c r="K31" s="9">
        <f t="shared" si="3"/>
        <v>557299290</v>
      </c>
      <c r="L31" s="38"/>
      <c r="M31" s="38"/>
      <c r="N31" s="41"/>
    </row>
    <row r="32" spans="1:14" x14ac:dyDescent="0.25">
      <c r="J32" s="8" t="s">
        <v>15</v>
      </c>
      <c r="K32" s="9">
        <f t="shared" si="3"/>
        <v>1091882440</v>
      </c>
      <c r="L32" s="36" t="s">
        <v>26</v>
      </c>
      <c r="M32" s="36">
        <f>+K32+K33+K34+K35+K36</f>
        <v>9666807663</v>
      </c>
      <c r="N32" s="39">
        <f>+M32/K37</f>
        <v>0.33303187747005625</v>
      </c>
    </row>
    <row r="33" spans="1:14" x14ac:dyDescent="0.25">
      <c r="J33" s="8" t="s">
        <v>16</v>
      </c>
      <c r="K33" s="9">
        <f t="shared" si="3"/>
        <v>1277335515</v>
      </c>
      <c r="L33" s="37"/>
      <c r="M33" s="37"/>
      <c r="N33" s="40"/>
    </row>
    <row r="34" spans="1:14" x14ac:dyDescent="0.25">
      <c r="J34" s="8" t="s">
        <v>17</v>
      </c>
      <c r="K34" s="9">
        <f t="shared" si="3"/>
        <v>1846475970</v>
      </c>
      <c r="L34" s="37"/>
      <c r="M34" s="37"/>
      <c r="N34" s="40"/>
    </row>
    <row r="35" spans="1:14" x14ac:dyDescent="0.25">
      <c r="J35" s="8" t="s">
        <v>18</v>
      </c>
      <c r="K35" s="9">
        <f t="shared" si="3"/>
        <v>4569599683</v>
      </c>
      <c r="L35" s="37"/>
      <c r="M35" s="37"/>
      <c r="N35" s="40"/>
    </row>
    <row r="36" spans="1:14" x14ac:dyDescent="0.25">
      <c r="J36" s="8" t="s">
        <v>19</v>
      </c>
      <c r="K36" s="9">
        <f t="shared" si="3"/>
        <v>881514055</v>
      </c>
      <c r="L36" s="38"/>
      <c r="M36" s="38"/>
      <c r="N36" s="41"/>
    </row>
    <row r="37" spans="1:14" x14ac:dyDescent="0.25">
      <c r="J37" s="8" t="s">
        <v>21</v>
      </c>
      <c r="K37" s="11">
        <f>SUM(K23:K36)</f>
        <v>29026673772</v>
      </c>
      <c r="L37" s="11"/>
      <c r="M37" s="11">
        <f>SUM(M23:M36)</f>
        <v>29026673772</v>
      </c>
      <c r="N37" s="10">
        <f>+M37/K37</f>
        <v>1</v>
      </c>
    </row>
    <row r="42" spans="1:14" x14ac:dyDescent="0.25">
      <c r="A42" s="42" t="s">
        <v>0</v>
      </c>
      <c r="B42" s="48">
        <v>45657</v>
      </c>
      <c r="C42" s="49"/>
      <c r="D42" s="2">
        <v>45291</v>
      </c>
      <c r="E42" s="3"/>
      <c r="F42" s="46" t="s">
        <v>1</v>
      </c>
      <c r="G42" s="47"/>
    </row>
    <row r="43" spans="1:14" x14ac:dyDescent="0.25">
      <c r="A43" s="43"/>
      <c r="B43" s="1" t="s">
        <v>2</v>
      </c>
      <c r="C43" s="5" t="s">
        <v>3</v>
      </c>
      <c r="D43" s="1" t="s">
        <v>2</v>
      </c>
      <c r="E43" s="5" t="s">
        <v>3</v>
      </c>
      <c r="F43" s="6" t="s">
        <v>4</v>
      </c>
      <c r="G43" s="7" t="s">
        <v>5</v>
      </c>
    </row>
    <row r="44" spans="1:14" x14ac:dyDescent="0.25">
      <c r="A44" s="8" t="s">
        <v>6</v>
      </c>
      <c r="B44" s="9">
        <v>2707915293</v>
      </c>
      <c r="C44" s="10">
        <f>+B44/B59</f>
        <v>9.8217974858036308E-2</v>
      </c>
      <c r="D44" s="9">
        <f>3366370000</f>
        <v>3366370000</v>
      </c>
      <c r="E44" s="10">
        <f>+D44/D59</f>
        <v>0.11597505199673624</v>
      </c>
      <c r="F44" s="9">
        <f>+B44-D44</f>
        <v>-658454707</v>
      </c>
      <c r="G44" s="10">
        <f t="shared" ref="G44:G59" si="4">+F44/D44</f>
        <v>-0.19559784188903775</v>
      </c>
    </row>
    <row r="45" spans="1:14" x14ac:dyDescent="0.25">
      <c r="A45" s="8" t="s">
        <v>7</v>
      </c>
      <c r="B45" s="9">
        <v>1641426915</v>
      </c>
      <c r="C45" s="10">
        <f>+B45/B59</f>
        <v>5.9535698138536305E-2</v>
      </c>
      <c r="D45" s="9">
        <v>1546070774</v>
      </c>
      <c r="E45" s="10">
        <f>+D45/D59</f>
        <v>5.3263794058669794E-2</v>
      </c>
      <c r="F45" s="9">
        <f t="shared" ref="F45:F58" si="5">+B45-D45</f>
        <v>95356141</v>
      </c>
      <c r="G45" s="10">
        <f t="shared" si="4"/>
        <v>6.1676439787613502E-2</v>
      </c>
      <c r="J45" s="9"/>
    </row>
    <row r="46" spans="1:14" x14ac:dyDescent="0.25">
      <c r="A46" s="8" t="s">
        <v>8</v>
      </c>
      <c r="B46" s="9">
        <v>830763413</v>
      </c>
      <c r="C46" s="10">
        <f>+B46/B59</f>
        <v>3.0132367959196143E-2</v>
      </c>
      <c r="D46" s="9">
        <v>772591875</v>
      </c>
      <c r="E46" s="10">
        <f>+D46/D59</f>
        <v>2.6616617565918467E-2</v>
      </c>
      <c r="F46" s="9">
        <f>+B46-D46</f>
        <v>58171538</v>
      </c>
      <c r="G46" s="10">
        <f t="shared" si="4"/>
        <v>7.5294006942540001E-2</v>
      </c>
    </row>
    <row r="47" spans="1:14" x14ac:dyDescent="0.25">
      <c r="A47" s="8" t="s">
        <v>9</v>
      </c>
      <c r="B47" s="9">
        <v>440465040</v>
      </c>
      <c r="C47" s="10">
        <f>+B47/B59</f>
        <v>1.5975973966540154E-2</v>
      </c>
      <c r="D47" s="9">
        <v>863422230</v>
      </c>
      <c r="E47" s="10">
        <f>+D47/D59</f>
        <v>2.9745820578067163E-2</v>
      </c>
      <c r="F47" s="9">
        <f t="shared" si="5"/>
        <v>-422957190</v>
      </c>
      <c r="G47" s="10">
        <f t="shared" si="4"/>
        <v>-0.48986136249931855</v>
      </c>
    </row>
    <row r="48" spans="1:14" x14ac:dyDescent="0.25">
      <c r="A48" s="8" t="s">
        <v>10</v>
      </c>
      <c r="B48" s="9">
        <v>1402222217</v>
      </c>
      <c r="C48" s="10">
        <f>+B48/B59</f>
        <v>5.0859577037251857E-2</v>
      </c>
      <c r="D48" s="9">
        <v>1506653625</v>
      </c>
      <c r="E48" s="10">
        <f>+D48/D59</f>
        <v>5.1905831058512923E-2</v>
      </c>
      <c r="F48" s="9">
        <f t="shared" si="5"/>
        <v>-104431408</v>
      </c>
      <c r="G48" s="10">
        <f t="shared" si="4"/>
        <v>-6.9313481391583942E-2</v>
      </c>
    </row>
    <row r="49" spans="1:14" x14ac:dyDescent="0.25">
      <c r="A49" s="8" t="s">
        <v>11</v>
      </c>
      <c r="B49" s="9">
        <v>675309436</v>
      </c>
      <c r="C49" s="10">
        <f>+B49/B59</f>
        <v>2.4493943875534174E-2</v>
      </c>
      <c r="D49" s="9">
        <v>789815215</v>
      </c>
      <c r="E49" s="10">
        <f>+D49/D59</f>
        <v>2.7209980075701249E-2</v>
      </c>
      <c r="F49" s="9">
        <f t="shared" si="5"/>
        <v>-114505779</v>
      </c>
      <c r="G49" s="10">
        <f t="shared" si="4"/>
        <v>-0.14497793512372384</v>
      </c>
    </row>
    <row r="50" spans="1:14" x14ac:dyDescent="0.25">
      <c r="A50" s="8" t="s">
        <v>12</v>
      </c>
      <c r="B50" s="9">
        <v>8125468949</v>
      </c>
      <c r="C50" s="10">
        <f>+B50/B59</f>
        <v>0.29471642152383853</v>
      </c>
      <c r="D50" s="9">
        <v>7964120775</v>
      </c>
      <c r="E50" s="10">
        <f>+D50/D59</f>
        <v>0.27437249054290297</v>
      </c>
      <c r="F50" s="9">
        <f t="shared" si="5"/>
        <v>161348174</v>
      </c>
      <c r="G50" s="10">
        <f t="shared" si="4"/>
        <v>2.0259383120668457E-2</v>
      </c>
    </row>
    <row r="51" spans="1:14" x14ac:dyDescent="0.25">
      <c r="A51" s="8" t="s">
        <v>13</v>
      </c>
      <c r="B51" s="9">
        <v>2102978545</v>
      </c>
      <c r="C51" s="10">
        <f>+B51/B59</f>
        <v>7.6276497419891703E-2</v>
      </c>
      <c r="D51" s="9">
        <v>1993522325</v>
      </c>
      <c r="E51" s="10">
        <f>+D51/D59</f>
        <v>6.8678979226445558E-2</v>
      </c>
      <c r="F51" s="9">
        <f t="shared" si="5"/>
        <v>109456220</v>
      </c>
      <c r="G51" s="10">
        <f t="shared" si="4"/>
        <v>5.490594142205054E-2</v>
      </c>
    </row>
    <row r="52" spans="1:14" x14ac:dyDescent="0.25">
      <c r="A52" s="8" t="s">
        <v>14</v>
      </c>
      <c r="B52" s="9">
        <v>328668850</v>
      </c>
      <c r="C52" s="10">
        <f>+B52/B59</f>
        <v>1.1921048243040336E-2</v>
      </c>
      <c r="D52" s="9">
        <v>557299290</v>
      </c>
      <c r="E52" s="10">
        <f>+D52/D59</f>
        <v>1.9199557426989367E-2</v>
      </c>
      <c r="F52" s="9">
        <f t="shared" si="5"/>
        <v>-228630440</v>
      </c>
      <c r="G52" s="10">
        <f t="shared" si="4"/>
        <v>-0.41024714027538056</v>
      </c>
    </row>
    <row r="53" spans="1:14" x14ac:dyDescent="0.25">
      <c r="A53" s="8" t="s">
        <v>15</v>
      </c>
      <c r="B53" s="9">
        <v>1198885029</v>
      </c>
      <c r="C53" s="10">
        <f>+B53/B59</f>
        <v>4.3484395520195514E-2</v>
      </c>
      <c r="D53" s="9">
        <v>1091882440</v>
      </c>
      <c r="E53" s="10">
        <f>+D53/D59</f>
        <v>3.7616519501220379E-2</v>
      </c>
      <c r="F53" s="9">
        <f t="shared" si="5"/>
        <v>107002589</v>
      </c>
      <c r="G53" s="10">
        <f t="shared" si="4"/>
        <v>9.79982689345201E-2</v>
      </c>
    </row>
    <row r="54" spans="1:14" x14ac:dyDescent="0.25">
      <c r="A54" s="8" t="s">
        <v>16</v>
      </c>
      <c r="B54" s="9">
        <v>1232345192</v>
      </c>
      <c r="C54" s="10">
        <f>+B54/B59</f>
        <v>4.4698018951022607E-2</v>
      </c>
      <c r="D54" s="9">
        <v>1277335515</v>
      </c>
      <c r="E54" s="10">
        <f>+D54/D59</f>
        <v>4.4005576561519634E-2</v>
      </c>
      <c r="F54" s="9">
        <f t="shared" si="5"/>
        <v>-44990323</v>
      </c>
      <c r="G54" s="10">
        <f t="shared" si="4"/>
        <v>-3.5222008995811876E-2</v>
      </c>
    </row>
    <row r="55" spans="1:14" x14ac:dyDescent="0.25">
      <c r="A55" s="8" t="s">
        <v>17</v>
      </c>
      <c r="B55" s="9">
        <v>1525806455</v>
      </c>
      <c r="C55" s="10">
        <f>+B55/B59</f>
        <v>5.534206347695364E-2</v>
      </c>
      <c r="D55" s="9">
        <v>1846475970</v>
      </c>
      <c r="E55" s="10">
        <f>+D55/D59</f>
        <v>6.3613074805049352E-2</v>
      </c>
      <c r="F55" s="9">
        <f t="shared" si="5"/>
        <v>-320669515</v>
      </c>
      <c r="G55" s="10">
        <f t="shared" si="4"/>
        <v>-0.17366568545162275</v>
      </c>
    </row>
    <row r="56" spans="1:14" x14ac:dyDescent="0.25">
      <c r="A56" s="8" t="s">
        <v>18</v>
      </c>
      <c r="B56" s="9">
        <v>4509481891</v>
      </c>
      <c r="C56" s="10">
        <f>+B56/B59</f>
        <v>0.16356205090238324</v>
      </c>
      <c r="D56" s="9">
        <f>4575986650-6386967</f>
        <v>4569599683</v>
      </c>
      <c r="E56" s="10">
        <f>+D56/D59</f>
        <v>0.15742760327598998</v>
      </c>
      <c r="F56" s="9">
        <f t="shared" si="5"/>
        <v>-60117792</v>
      </c>
      <c r="G56" s="10">
        <f t="shared" si="4"/>
        <v>-1.3156030324418245E-2</v>
      </c>
    </row>
    <row r="57" spans="1:14" x14ac:dyDescent="0.25">
      <c r="A57" s="8" t="s">
        <v>19</v>
      </c>
      <c r="B57" s="9">
        <v>848728333</v>
      </c>
      <c r="C57" s="10">
        <f>+B57/B59</f>
        <v>3.0783968127579487E-2</v>
      </c>
      <c r="D57" s="9">
        <v>881514055</v>
      </c>
      <c r="E57" s="10">
        <f>+D57/D59</f>
        <v>3.0369103326276913E-2</v>
      </c>
      <c r="F57" s="9">
        <f t="shared" si="5"/>
        <v>-32785722</v>
      </c>
      <c r="G57" s="10">
        <f t="shared" si="4"/>
        <v>-3.7192511922002194E-2</v>
      </c>
    </row>
    <row r="58" spans="1:14" x14ac:dyDescent="0.25">
      <c r="A58" s="8" t="s">
        <v>20</v>
      </c>
      <c r="B58" s="9">
        <v>0</v>
      </c>
      <c r="C58" s="10"/>
      <c r="D58" s="9">
        <v>0</v>
      </c>
      <c r="E58" s="10">
        <f>+D58/D59</f>
        <v>0</v>
      </c>
      <c r="F58" s="9">
        <f t="shared" si="5"/>
        <v>0</v>
      </c>
      <c r="G58" s="10">
        <v>0</v>
      </c>
    </row>
    <row r="59" spans="1:14" x14ac:dyDescent="0.25">
      <c r="A59" s="8" t="s">
        <v>21</v>
      </c>
      <c r="B59" s="11">
        <f>SUM(B44:B58)</f>
        <v>27570465558</v>
      </c>
      <c r="C59" s="5">
        <f>SUM(C44:C58)</f>
        <v>1</v>
      </c>
      <c r="D59" s="11">
        <f t="shared" ref="D59" si="6">SUM(D44:D58)</f>
        <v>29026673772</v>
      </c>
      <c r="E59" s="5">
        <f>SUM(E44:E58)</f>
        <v>1</v>
      </c>
      <c r="F59" s="11">
        <f t="shared" ref="F59" si="7">SUM(F44:F58)</f>
        <v>-1456208214</v>
      </c>
      <c r="G59" s="10">
        <f t="shared" si="4"/>
        <v>-5.0167932620812448E-2</v>
      </c>
    </row>
    <row r="60" spans="1:14" x14ac:dyDescent="0.25">
      <c r="G60" s="12"/>
    </row>
    <row r="61" spans="1:14" x14ac:dyDescent="0.25">
      <c r="J61" s="42" t="s">
        <v>0</v>
      </c>
      <c r="K61" s="2">
        <v>45657</v>
      </c>
      <c r="L61" s="44" t="s">
        <v>22</v>
      </c>
      <c r="M61" s="46" t="s">
        <v>23</v>
      </c>
      <c r="N61" s="47"/>
    </row>
    <row r="62" spans="1:14" x14ac:dyDescent="0.25">
      <c r="J62" s="43"/>
      <c r="K62" s="1" t="s">
        <v>2</v>
      </c>
      <c r="L62" s="45"/>
      <c r="M62" s="6" t="s">
        <v>4</v>
      </c>
      <c r="N62" s="7" t="s">
        <v>5</v>
      </c>
    </row>
    <row r="63" spans="1:14" x14ac:dyDescent="0.25">
      <c r="J63" s="8" t="s">
        <v>6</v>
      </c>
      <c r="K63" s="9">
        <f>+B44</f>
        <v>2707915293</v>
      </c>
      <c r="L63" s="36" t="s">
        <v>24</v>
      </c>
      <c r="M63" s="9"/>
      <c r="N63" s="10"/>
    </row>
    <row r="64" spans="1:14" x14ac:dyDescent="0.25">
      <c r="J64" s="8" t="s">
        <v>7</v>
      </c>
      <c r="K64" s="9">
        <f>+B45</f>
        <v>1641426915</v>
      </c>
      <c r="L64" s="37"/>
      <c r="M64" s="36">
        <f>+K63+K64+K65+K66+K67+K68</f>
        <v>7698102314</v>
      </c>
      <c r="N64" s="39">
        <f>+M64/K77</f>
        <v>0.27921553583509495</v>
      </c>
    </row>
    <row r="65" spans="1:14" x14ac:dyDescent="0.25">
      <c r="J65" s="8" t="s">
        <v>8</v>
      </c>
      <c r="K65" s="9">
        <f>+B46</f>
        <v>830763413</v>
      </c>
      <c r="L65" s="37"/>
      <c r="M65" s="37"/>
      <c r="N65" s="40"/>
    </row>
    <row r="66" spans="1:14" x14ac:dyDescent="0.25">
      <c r="J66" s="8" t="s">
        <v>9</v>
      </c>
      <c r="K66" s="9">
        <f t="shared" ref="K66:K76" si="8">+B47</f>
        <v>440465040</v>
      </c>
      <c r="L66" s="37"/>
      <c r="M66" s="37"/>
      <c r="N66" s="40"/>
    </row>
    <row r="67" spans="1:14" x14ac:dyDescent="0.25">
      <c r="J67" s="8" t="s">
        <v>10</v>
      </c>
      <c r="K67" s="9">
        <f t="shared" si="8"/>
        <v>1402222217</v>
      </c>
      <c r="L67" s="37"/>
      <c r="M67" s="37"/>
      <c r="N67" s="40"/>
    </row>
    <row r="68" spans="1:14" x14ac:dyDescent="0.25">
      <c r="J68" s="8" t="s">
        <v>11</v>
      </c>
      <c r="K68" s="9">
        <f>+B49</f>
        <v>675309436</v>
      </c>
      <c r="L68" s="38"/>
      <c r="M68" s="38"/>
      <c r="N68" s="41"/>
    </row>
    <row r="69" spans="1:14" x14ac:dyDescent="0.25">
      <c r="J69" s="8" t="s">
        <v>12</v>
      </c>
      <c r="K69" s="9">
        <f t="shared" si="8"/>
        <v>8125468949</v>
      </c>
      <c r="L69" s="36" t="s">
        <v>25</v>
      </c>
      <c r="M69" s="36">
        <f>+K69+K70+K71</f>
        <v>10557116344</v>
      </c>
      <c r="N69" s="39">
        <f>+M69/K77</f>
        <v>0.38291396718677057</v>
      </c>
    </row>
    <row r="70" spans="1:14" x14ac:dyDescent="0.25">
      <c r="J70" s="8" t="s">
        <v>13</v>
      </c>
      <c r="K70" s="9">
        <f t="shared" si="8"/>
        <v>2102978545</v>
      </c>
      <c r="L70" s="37"/>
      <c r="M70" s="37"/>
      <c r="N70" s="40"/>
    </row>
    <row r="71" spans="1:14" x14ac:dyDescent="0.25">
      <c r="J71" s="8" t="s">
        <v>14</v>
      </c>
      <c r="K71" s="9">
        <f t="shared" si="8"/>
        <v>328668850</v>
      </c>
      <c r="L71" s="38"/>
      <c r="M71" s="38"/>
      <c r="N71" s="41"/>
    </row>
    <row r="72" spans="1:14" x14ac:dyDescent="0.25">
      <c r="J72" s="8" t="s">
        <v>15</v>
      </c>
      <c r="K72" s="9">
        <f t="shared" si="8"/>
        <v>1198885029</v>
      </c>
      <c r="L72" s="36" t="s">
        <v>26</v>
      </c>
      <c r="M72" s="36">
        <f>+K72+K73+K74+K75+K76</f>
        <v>9315246900</v>
      </c>
      <c r="N72" s="39">
        <f>+M72/K77</f>
        <v>0.33787049697813448</v>
      </c>
    </row>
    <row r="73" spans="1:14" x14ac:dyDescent="0.25">
      <c r="J73" s="8" t="s">
        <v>16</v>
      </c>
      <c r="K73" s="9">
        <f t="shared" si="8"/>
        <v>1232345192</v>
      </c>
      <c r="L73" s="37"/>
      <c r="M73" s="37"/>
      <c r="N73" s="40"/>
    </row>
    <row r="74" spans="1:14" x14ac:dyDescent="0.25">
      <c r="J74" s="8" t="s">
        <v>17</v>
      </c>
      <c r="K74" s="9">
        <f t="shared" si="8"/>
        <v>1525806455</v>
      </c>
      <c r="L74" s="37"/>
      <c r="M74" s="37"/>
      <c r="N74" s="40"/>
    </row>
    <row r="75" spans="1:14" x14ac:dyDescent="0.25">
      <c r="J75" s="8" t="s">
        <v>18</v>
      </c>
      <c r="K75" s="9">
        <f t="shared" si="8"/>
        <v>4509481891</v>
      </c>
      <c r="L75" s="37"/>
      <c r="M75" s="37"/>
      <c r="N75" s="40"/>
    </row>
    <row r="76" spans="1:14" x14ac:dyDescent="0.25">
      <c r="J76" s="8" t="s">
        <v>19</v>
      </c>
      <c r="K76" s="9">
        <f t="shared" si="8"/>
        <v>848728333</v>
      </c>
      <c r="L76" s="38"/>
      <c r="M76" s="38"/>
      <c r="N76" s="41"/>
    </row>
    <row r="77" spans="1:14" x14ac:dyDescent="0.25">
      <c r="J77" s="8" t="s">
        <v>21</v>
      </c>
      <c r="K77" s="11">
        <f>SUM(K63:K76)</f>
        <v>27570465558</v>
      </c>
      <c r="L77" s="11"/>
      <c r="M77" s="11">
        <f>SUM(M63:M76)</f>
        <v>27570465558</v>
      </c>
      <c r="N77" s="10">
        <f>+M77/K77</f>
        <v>1</v>
      </c>
    </row>
    <row r="79" spans="1:14" x14ac:dyDescent="0.25">
      <c r="A79" s="42" t="s">
        <v>0</v>
      </c>
      <c r="B79" s="48">
        <v>46022</v>
      </c>
      <c r="C79" s="49"/>
      <c r="D79" s="2">
        <v>45657</v>
      </c>
      <c r="E79" s="3"/>
      <c r="F79" s="46" t="s">
        <v>1</v>
      </c>
      <c r="G79" s="47"/>
    </row>
    <row r="80" spans="1:14" x14ac:dyDescent="0.25">
      <c r="A80" s="43"/>
      <c r="B80" s="1" t="s">
        <v>2</v>
      </c>
      <c r="C80" s="5" t="s">
        <v>3</v>
      </c>
      <c r="D80" s="1" t="s">
        <v>2</v>
      </c>
      <c r="E80" s="5" t="s">
        <v>3</v>
      </c>
      <c r="F80" s="6" t="s">
        <v>4</v>
      </c>
      <c r="G80" s="7" t="s">
        <v>5</v>
      </c>
    </row>
    <row r="81" spans="1:8" x14ac:dyDescent="0.25">
      <c r="A81" s="8" t="s">
        <v>6</v>
      </c>
      <c r="B81" s="9">
        <v>3020552417.5799999</v>
      </c>
      <c r="C81" s="10">
        <f t="shared" ref="C81:C94" si="9">+B81/$B$95</f>
        <v>8.9207558644801496E-2</v>
      </c>
      <c r="D81" s="9">
        <v>2707915293</v>
      </c>
      <c r="E81" s="10">
        <f>+D81/D95</f>
        <v>9.8217974858036308E-2</v>
      </c>
      <c r="F81" s="9">
        <f>+B81-D81</f>
        <v>312637124.57999992</v>
      </c>
      <c r="G81" s="10">
        <f>+IFERROR(F81/D81,0)</f>
        <v>0.11545306656680561</v>
      </c>
      <c r="H81" s="4" t="s">
        <v>44</v>
      </c>
    </row>
    <row r="82" spans="1:8" x14ac:dyDescent="0.25">
      <c r="A82" s="8" t="s">
        <v>7</v>
      </c>
      <c r="B82" s="9">
        <v>1772049316</v>
      </c>
      <c r="C82" s="10">
        <f t="shared" si="9"/>
        <v>5.2334861781740162E-2</v>
      </c>
      <c r="D82" s="9">
        <v>1641426915</v>
      </c>
      <c r="E82" s="10">
        <f>+D82/D95</f>
        <v>5.9535698138536305E-2</v>
      </c>
      <c r="F82" s="9">
        <f t="shared" ref="F82" si="10">+B82-D82</f>
        <v>130622401</v>
      </c>
      <c r="G82" s="10">
        <f t="shared" ref="G82:G95" si="11">+IFERROR(F82/D82,0)</f>
        <v>7.957856655469793E-2</v>
      </c>
      <c r="H82" s="4" t="s">
        <v>54</v>
      </c>
    </row>
    <row r="83" spans="1:8" x14ac:dyDescent="0.25">
      <c r="A83" s="8" t="s">
        <v>8</v>
      </c>
      <c r="B83" s="9">
        <v>1050584749</v>
      </c>
      <c r="C83" s="10">
        <f t="shared" si="9"/>
        <v>3.1027470360152878E-2</v>
      </c>
      <c r="D83" s="9">
        <v>830763413</v>
      </c>
      <c r="E83" s="10">
        <f>+D83/D95</f>
        <v>3.0132367959196143E-2</v>
      </c>
      <c r="F83" s="9">
        <f>+B83-D83</f>
        <v>219821336</v>
      </c>
      <c r="G83" s="10">
        <f t="shared" si="11"/>
        <v>0.26460160926706577</v>
      </c>
      <c r="H83" s="4" t="s">
        <v>41</v>
      </c>
    </row>
    <row r="84" spans="1:8" x14ac:dyDescent="0.25">
      <c r="A84" s="8" t="s">
        <v>9</v>
      </c>
      <c r="B84" s="9">
        <v>582416723</v>
      </c>
      <c r="C84" s="10">
        <f t="shared" si="9"/>
        <v>1.7200818522580579E-2</v>
      </c>
      <c r="D84" s="9">
        <v>440465040</v>
      </c>
      <c r="E84" s="10">
        <f>+D84/D95</f>
        <v>1.5975973966540154E-2</v>
      </c>
      <c r="F84" s="9">
        <f t="shared" ref="F84:F94" si="12">+B84-D84</f>
        <v>141951683</v>
      </c>
      <c r="G84" s="10">
        <f t="shared" si="11"/>
        <v>0.32227684403738377</v>
      </c>
      <c r="H84" s="4" t="s">
        <v>48</v>
      </c>
    </row>
    <row r="85" spans="1:8" x14ac:dyDescent="0.25">
      <c r="A85" s="8" t="s">
        <v>10</v>
      </c>
      <c r="B85" s="9">
        <v>1625439978.03</v>
      </c>
      <c r="C85" s="10">
        <f t="shared" si="9"/>
        <v>4.8004971315772797E-2</v>
      </c>
      <c r="D85" s="9">
        <v>1402222217</v>
      </c>
      <c r="E85" s="10">
        <f>+D85/D95</f>
        <v>5.0859577037251857E-2</v>
      </c>
      <c r="F85" s="9">
        <f t="shared" si="12"/>
        <v>223217761.02999997</v>
      </c>
      <c r="G85" s="10">
        <f t="shared" si="11"/>
        <v>0.15918857818952956</v>
      </c>
      <c r="H85" s="4" t="s">
        <v>51</v>
      </c>
    </row>
    <row r="86" spans="1:8" x14ac:dyDescent="0.25">
      <c r="A86" s="8" t="s">
        <v>11</v>
      </c>
      <c r="B86" s="9">
        <v>905166595</v>
      </c>
      <c r="C86" s="10">
        <f t="shared" si="9"/>
        <v>2.6732759755075223E-2</v>
      </c>
      <c r="D86" s="9">
        <v>675309436</v>
      </c>
      <c r="E86" s="10">
        <f>+D86/D95</f>
        <v>2.4493943875534174E-2</v>
      </c>
      <c r="F86" s="9">
        <f t="shared" si="12"/>
        <v>229857159</v>
      </c>
      <c r="G86" s="10">
        <f t="shared" si="11"/>
        <v>0.34037308935218252</v>
      </c>
      <c r="H86" s="4" t="s">
        <v>45</v>
      </c>
    </row>
    <row r="87" spans="1:8" x14ac:dyDescent="0.25">
      <c r="A87" s="8" t="s">
        <v>12</v>
      </c>
      <c r="B87" s="9">
        <v>9394218345</v>
      </c>
      <c r="C87" s="10">
        <f t="shared" si="9"/>
        <v>0.27744437708022729</v>
      </c>
      <c r="D87" s="9">
        <v>8125468949</v>
      </c>
      <c r="E87" s="10">
        <f>+D87/D95</f>
        <v>0.29471642152383853</v>
      </c>
      <c r="F87" s="9">
        <f t="shared" si="12"/>
        <v>1268749396</v>
      </c>
      <c r="G87" s="10">
        <f t="shared" si="11"/>
        <v>0.15614475963952146</v>
      </c>
      <c r="H87" s="4" t="s">
        <v>42</v>
      </c>
    </row>
    <row r="88" spans="1:8" x14ac:dyDescent="0.25">
      <c r="A88" s="8" t="s">
        <v>13</v>
      </c>
      <c r="B88" s="9">
        <v>2236962996</v>
      </c>
      <c r="C88" s="10">
        <f t="shared" si="9"/>
        <v>6.6065401312187508E-2</v>
      </c>
      <c r="D88" s="9">
        <v>2102978545</v>
      </c>
      <c r="E88" s="10">
        <f>+D88/D95</f>
        <v>7.6276497419891703E-2</v>
      </c>
      <c r="F88" s="9">
        <f t="shared" si="12"/>
        <v>133984451</v>
      </c>
      <c r="G88" s="10">
        <f t="shared" si="11"/>
        <v>6.3711753654624184E-2</v>
      </c>
      <c r="H88" s="4" t="s">
        <v>47</v>
      </c>
    </row>
    <row r="89" spans="1:8" x14ac:dyDescent="0.25">
      <c r="A89" s="8" t="s">
        <v>14</v>
      </c>
      <c r="B89" s="9">
        <v>1494908810</v>
      </c>
      <c r="C89" s="10">
        <f t="shared" si="9"/>
        <v>4.4149925874667734E-2</v>
      </c>
      <c r="D89" s="9">
        <v>328668850</v>
      </c>
      <c r="E89" s="10">
        <f>+D89/D95</f>
        <v>1.1921048243040336E-2</v>
      </c>
      <c r="F89" s="9">
        <f t="shared" si="12"/>
        <v>1166239960</v>
      </c>
      <c r="G89" s="10">
        <f t="shared" si="11"/>
        <v>3.5483738723642353</v>
      </c>
      <c r="H89" s="4" t="s">
        <v>50</v>
      </c>
    </row>
    <row r="90" spans="1:8" x14ac:dyDescent="0.25">
      <c r="A90" s="8" t="s">
        <v>15</v>
      </c>
      <c r="B90" s="9">
        <v>1453962960.03</v>
      </c>
      <c r="C90" s="10">
        <f t="shared" si="9"/>
        <v>4.2940650613890616E-2</v>
      </c>
      <c r="D90" s="9">
        <v>1198885029</v>
      </c>
      <c r="E90" s="10">
        <f>+D90/D95</f>
        <v>4.3484395520195514E-2</v>
      </c>
      <c r="F90" s="9">
        <f t="shared" si="12"/>
        <v>255077931.02999997</v>
      </c>
      <c r="G90" s="10">
        <f t="shared" si="11"/>
        <v>0.21276262932631881</v>
      </c>
      <c r="H90" s="4" t="s">
        <v>52</v>
      </c>
    </row>
    <row r="91" spans="1:8" x14ac:dyDescent="0.25">
      <c r="A91" s="8" t="s">
        <v>16</v>
      </c>
      <c r="B91" s="9">
        <v>1279770360</v>
      </c>
      <c r="C91" s="10">
        <f t="shared" si="9"/>
        <v>3.7796129203758487E-2</v>
      </c>
      <c r="D91" s="9">
        <v>1232345192</v>
      </c>
      <c r="E91" s="10">
        <f>+D91/D95</f>
        <v>4.4698018951022607E-2</v>
      </c>
      <c r="F91" s="9">
        <f t="shared" si="12"/>
        <v>47425168</v>
      </c>
      <c r="G91" s="10">
        <f t="shared" si="11"/>
        <v>3.8483671870405613E-2</v>
      </c>
      <c r="H91" s="4" t="s">
        <v>49</v>
      </c>
    </row>
    <row r="92" spans="1:8" x14ac:dyDescent="0.25">
      <c r="A92" s="8" t="s">
        <v>17</v>
      </c>
      <c r="B92" s="9">
        <v>1766423333</v>
      </c>
      <c r="C92" s="10">
        <f t="shared" si="9"/>
        <v>5.2168706675314543E-2</v>
      </c>
      <c r="D92" s="9">
        <v>1525806455</v>
      </c>
      <c r="E92" s="10">
        <f>+D92/D95</f>
        <v>5.534206347695364E-2</v>
      </c>
      <c r="F92" s="9">
        <f t="shared" si="12"/>
        <v>240616878</v>
      </c>
      <c r="G92" s="10">
        <f t="shared" si="11"/>
        <v>0.15769816493534233</v>
      </c>
      <c r="H92" s="4" t="s">
        <v>43</v>
      </c>
    </row>
    <row r="93" spans="1:8" x14ac:dyDescent="0.25">
      <c r="A93" s="8" t="s">
        <v>18</v>
      </c>
      <c r="B93" s="9">
        <v>6162245837</v>
      </c>
      <c r="C93" s="10">
        <f t="shared" si="9"/>
        <v>0.18199283802804656</v>
      </c>
      <c r="D93" s="9">
        <v>4509481891</v>
      </c>
      <c r="E93" s="10">
        <f>+D93/D95</f>
        <v>0.16356205090238324</v>
      </c>
      <c r="F93" s="9">
        <f t="shared" si="12"/>
        <v>1652763946</v>
      </c>
      <c r="G93" s="10">
        <f t="shared" si="11"/>
        <v>0.36650861139914487</v>
      </c>
      <c r="H93" s="4" t="s">
        <v>46</v>
      </c>
    </row>
    <row r="94" spans="1:8" x14ac:dyDescent="0.25">
      <c r="A94" s="8" t="s">
        <v>19</v>
      </c>
      <c r="B94" s="9">
        <v>1115123625</v>
      </c>
      <c r="C94" s="10">
        <f t="shared" si="9"/>
        <v>3.2933530831784165E-2</v>
      </c>
      <c r="D94" s="9">
        <v>848728333</v>
      </c>
      <c r="E94" s="10">
        <f>+D94/D95</f>
        <v>3.0783968127579487E-2</v>
      </c>
      <c r="F94" s="9">
        <f t="shared" si="12"/>
        <v>266395292</v>
      </c>
      <c r="G94" s="10">
        <f t="shared" si="11"/>
        <v>0.3138758088331664</v>
      </c>
      <c r="H94" s="4" t="s">
        <v>53</v>
      </c>
    </row>
    <row r="95" spans="1:8" x14ac:dyDescent="0.25">
      <c r="A95" s="8" t="s">
        <v>21</v>
      </c>
      <c r="B95" s="11">
        <f>SUM(B81:B94)</f>
        <v>33859826044.639999</v>
      </c>
      <c r="C95" s="5">
        <f>SUM(C81:C94)</f>
        <v>1.0000000000000002</v>
      </c>
      <c r="D95" s="11">
        <f>SUM(D81:D94)</f>
        <v>27570465558</v>
      </c>
      <c r="E95" s="5">
        <f>SUM(E81:E94)</f>
        <v>1</v>
      </c>
      <c r="F95" s="11">
        <f>SUM(F81:F94)</f>
        <v>6289360486.6399994</v>
      </c>
      <c r="G95" s="10">
        <f t="shared" si="11"/>
        <v>0.22811948798648574</v>
      </c>
    </row>
    <row r="97" spans="2:14" x14ac:dyDescent="0.25">
      <c r="B97" s="33"/>
      <c r="J97" s="42" t="s">
        <v>0</v>
      </c>
      <c r="K97" s="2">
        <v>46022</v>
      </c>
      <c r="L97" s="44" t="s">
        <v>22</v>
      </c>
      <c r="M97" s="46" t="s">
        <v>23</v>
      </c>
      <c r="N97" s="47"/>
    </row>
    <row r="98" spans="2:14" x14ac:dyDescent="0.25">
      <c r="B98" s="33"/>
      <c r="J98" s="43"/>
      <c r="K98" s="1" t="s">
        <v>2</v>
      </c>
      <c r="L98" s="45"/>
      <c r="M98" s="6" t="s">
        <v>4</v>
      </c>
      <c r="N98" s="7" t="s">
        <v>5</v>
      </c>
    </row>
    <row r="99" spans="2:14" x14ac:dyDescent="0.25">
      <c r="J99" s="8" t="s">
        <v>6</v>
      </c>
      <c r="K99" s="9">
        <f>+B81</f>
        <v>3020552417.5799999</v>
      </c>
      <c r="L99" s="36" t="s">
        <v>24</v>
      </c>
      <c r="M99" s="9"/>
      <c r="N99" s="10"/>
    </row>
    <row r="100" spans="2:14" x14ac:dyDescent="0.25">
      <c r="J100" s="8" t="s">
        <v>7</v>
      </c>
      <c r="K100" s="9">
        <f>+B82</f>
        <v>1772049316</v>
      </c>
      <c r="L100" s="37"/>
      <c r="M100" s="36">
        <f>+K99+K100+K101+K102+K103+K104</f>
        <v>8956209778.6100006</v>
      </c>
      <c r="N100" s="39">
        <f>+M100/K113</f>
        <v>0.26450844038012317</v>
      </c>
    </row>
    <row r="101" spans="2:14" x14ac:dyDescent="0.25">
      <c r="B101" s="33"/>
      <c r="J101" s="8" t="s">
        <v>8</v>
      </c>
      <c r="K101" s="9">
        <f>+B83</f>
        <v>1050584749</v>
      </c>
      <c r="L101" s="37"/>
      <c r="M101" s="37"/>
      <c r="N101" s="40"/>
    </row>
    <row r="102" spans="2:14" x14ac:dyDescent="0.25">
      <c r="J102" s="8" t="s">
        <v>9</v>
      </c>
      <c r="K102" s="9">
        <f t="shared" ref="K102:K103" si="13">+B84</f>
        <v>582416723</v>
      </c>
      <c r="L102" s="37"/>
      <c r="M102" s="37"/>
      <c r="N102" s="40"/>
    </row>
    <row r="103" spans="2:14" x14ac:dyDescent="0.25">
      <c r="J103" s="8" t="s">
        <v>10</v>
      </c>
      <c r="K103" s="9">
        <f t="shared" si="13"/>
        <v>1625439978.03</v>
      </c>
      <c r="L103" s="37"/>
      <c r="M103" s="37"/>
      <c r="N103" s="40"/>
    </row>
    <row r="104" spans="2:14" x14ac:dyDescent="0.25">
      <c r="J104" s="8" t="s">
        <v>11</v>
      </c>
      <c r="K104" s="9">
        <f>+B86</f>
        <v>905166595</v>
      </c>
      <c r="L104" s="38"/>
      <c r="M104" s="38"/>
      <c r="N104" s="41"/>
    </row>
    <row r="105" spans="2:14" x14ac:dyDescent="0.25">
      <c r="J105" s="8" t="s">
        <v>12</v>
      </c>
      <c r="K105" s="9">
        <f t="shared" ref="K105:K112" si="14">+B87</f>
        <v>9394218345</v>
      </c>
      <c r="L105" s="36" t="s">
        <v>25</v>
      </c>
      <c r="M105" s="36">
        <f>+K105+K106+K107</f>
        <v>13126090151</v>
      </c>
      <c r="N105" s="39">
        <f>+M105/K113</f>
        <v>0.38765970426708252</v>
      </c>
    </row>
    <row r="106" spans="2:14" x14ac:dyDescent="0.25">
      <c r="J106" s="8" t="s">
        <v>13</v>
      </c>
      <c r="K106" s="9">
        <f t="shared" si="14"/>
        <v>2236962996</v>
      </c>
      <c r="L106" s="37"/>
      <c r="M106" s="37"/>
      <c r="N106" s="40"/>
    </row>
    <row r="107" spans="2:14" x14ac:dyDescent="0.25">
      <c r="J107" s="8" t="s">
        <v>14</v>
      </c>
      <c r="K107" s="9">
        <f t="shared" si="14"/>
        <v>1494908810</v>
      </c>
      <c r="L107" s="38"/>
      <c r="M107" s="38"/>
      <c r="N107" s="41"/>
    </row>
    <row r="108" spans="2:14" x14ac:dyDescent="0.25">
      <c r="J108" s="8" t="s">
        <v>15</v>
      </c>
      <c r="K108" s="9">
        <f t="shared" si="14"/>
        <v>1453962960.03</v>
      </c>
      <c r="L108" s="36" t="s">
        <v>26</v>
      </c>
      <c r="M108" s="36">
        <f>+K108+K109+K110+K111+K112</f>
        <v>11777526115.029999</v>
      </c>
      <c r="N108" s="39">
        <f>+M108/K113</f>
        <v>0.34783185535279432</v>
      </c>
    </row>
    <row r="109" spans="2:14" x14ac:dyDescent="0.25">
      <c r="J109" s="8" t="s">
        <v>16</v>
      </c>
      <c r="K109" s="9">
        <f t="shared" si="14"/>
        <v>1279770360</v>
      </c>
      <c r="L109" s="37"/>
      <c r="M109" s="37"/>
      <c r="N109" s="40"/>
    </row>
    <row r="110" spans="2:14" x14ac:dyDescent="0.25">
      <c r="J110" s="8" t="s">
        <v>17</v>
      </c>
      <c r="K110" s="9">
        <f t="shared" si="14"/>
        <v>1766423333</v>
      </c>
      <c r="L110" s="37"/>
      <c r="M110" s="37"/>
      <c r="N110" s="40"/>
    </row>
    <row r="111" spans="2:14" x14ac:dyDescent="0.25">
      <c r="J111" s="8" t="s">
        <v>18</v>
      </c>
      <c r="K111" s="9">
        <f t="shared" si="14"/>
        <v>6162245837</v>
      </c>
      <c r="L111" s="37"/>
      <c r="M111" s="37"/>
      <c r="N111" s="40"/>
    </row>
    <row r="112" spans="2:14" x14ac:dyDescent="0.25">
      <c r="J112" s="8" t="s">
        <v>19</v>
      </c>
      <c r="K112" s="9">
        <f t="shared" si="14"/>
        <v>1115123625</v>
      </c>
      <c r="L112" s="38"/>
      <c r="M112" s="38"/>
      <c r="N112" s="41"/>
    </row>
    <row r="113" spans="1:14" x14ac:dyDescent="0.25">
      <c r="J113" s="8" t="s">
        <v>21</v>
      </c>
      <c r="K113" s="11">
        <f>SUM(K99:K112)</f>
        <v>33859826044.639999</v>
      </c>
      <c r="L113" s="11"/>
      <c r="M113" s="11">
        <f>SUM(M99:M112)</f>
        <v>33859826044.639999</v>
      </c>
      <c r="N113" s="10">
        <f>+M113/K113</f>
        <v>1</v>
      </c>
    </row>
    <row r="115" spans="1:14" x14ac:dyDescent="0.25">
      <c r="A115" s="42" t="s">
        <v>0</v>
      </c>
      <c r="B115" s="48">
        <v>46203</v>
      </c>
      <c r="C115" s="49"/>
      <c r="D115" s="2">
        <v>45838</v>
      </c>
      <c r="E115" s="3"/>
      <c r="F115" s="46" t="s">
        <v>1</v>
      </c>
      <c r="G115" s="47"/>
    </row>
    <row r="116" spans="1:14" x14ac:dyDescent="0.25">
      <c r="A116" s="43"/>
      <c r="B116" s="32" t="s">
        <v>2</v>
      </c>
      <c r="C116" s="5" t="s">
        <v>3</v>
      </c>
      <c r="D116" s="32" t="s">
        <v>2</v>
      </c>
      <c r="E116" s="5" t="s">
        <v>3</v>
      </c>
      <c r="F116" s="6" t="s">
        <v>4</v>
      </c>
      <c r="G116" s="7" t="s">
        <v>5</v>
      </c>
    </row>
    <row r="117" spans="1:14" x14ac:dyDescent="0.25">
      <c r="A117" s="8" t="s">
        <v>6</v>
      </c>
      <c r="B117" s="9"/>
      <c r="C117" s="10">
        <f t="shared" ref="C117:C130" si="15">+B117/$B$95</f>
        <v>0</v>
      </c>
      <c r="D117" s="9"/>
      <c r="E117" s="10" t="e">
        <f>+D117/D131</f>
        <v>#DIV/0!</v>
      </c>
      <c r="F117" s="9">
        <f>+B117-D117</f>
        <v>0</v>
      </c>
      <c r="G117" s="10">
        <f>+IFERROR(F117/D117,0)</f>
        <v>0</v>
      </c>
      <c r="H117" s="4" t="s">
        <v>44</v>
      </c>
    </row>
    <row r="118" spans="1:14" x14ac:dyDescent="0.25">
      <c r="A118" s="8" t="s">
        <v>7</v>
      </c>
      <c r="B118" s="9"/>
      <c r="C118" s="10">
        <f t="shared" si="15"/>
        <v>0</v>
      </c>
      <c r="D118" s="9"/>
      <c r="E118" s="10" t="e">
        <f>+D118/D131</f>
        <v>#DIV/0!</v>
      </c>
      <c r="F118" s="9">
        <f t="shared" ref="F118" si="16">+B118-D118</f>
        <v>0</v>
      </c>
      <c r="G118" s="10">
        <f t="shared" ref="G118:G131" si="17">+IFERROR(F118/D118,0)</f>
        <v>0</v>
      </c>
      <c r="H118" s="4" t="s">
        <v>54</v>
      </c>
    </row>
    <row r="119" spans="1:14" x14ac:dyDescent="0.25">
      <c r="A119" s="8" t="s">
        <v>8</v>
      </c>
      <c r="B119" s="9"/>
      <c r="C119" s="10">
        <f t="shared" si="15"/>
        <v>0</v>
      </c>
      <c r="D119" s="9"/>
      <c r="E119" s="10" t="e">
        <f>+D119/D131</f>
        <v>#DIV/0!</v>
      </c>
      <c r="F119" s="9">
        <f>+B119-D119</f>
        <v>0</v>
      </c>
      <c r="G119" s="10">
        <f t="shared" si="17"/>
        <v>0</v>
      </c>
      <c r="H119" s="4" t="s">
        <v>41</v>
      </c>
    </row>
    <row r="120" spans="1:14" x14ac:dyDescent="0.25">
      <c r="A120" s="8" t="s">
        <v>9</v>
      </c>
      <c r="B120" s="9"/>
      <c r="C120" s="10">
        <f t="shared" si="15"/>
        <v>0</v>
      </c>
      <c r="D120" s="9"/>
      <c r="E120" s="10" t="e">
        <f>+D120/D131</f>
        <v>#DIV/0!</v>
      </c>
      <c r="F120" s="9">
        <f t="shared" ref="F120:F130" si="18">+B120-D120</f>
        <v>0</v>
      </c>
      <c r="G120" s="10">
        <f t="shared" si="17"/>
        <v>0</v>
      </c>
      <c r="H120" s="4" t="s">
        <v>48</v>
      </c>
    </row>
    <row r="121" spans="1:14" x14ac:dyDescent="0.25">
      <c r="A121" s="8" t="s">
        <v>10</v>
      </c>
      <c r="B121" s="9"/>
      <c r="C121" s="10">
        <f t="shared" si="15"/>
        <v>0</v>
      </c>
      <c r="D121" s="9"/>
      <c r="E121" s="10" t="e">
        <f>+D121/D131</f>
        <v>#DIV/0!</v>
      </c>
      <c r="F121" s="9">
        <f t="shared" si="18"/>
        <v>0</v>
      </c>
      <c r="G121" s="10">
        <f t="shared" si="17"/>
        <v>0</v>
      </c>
      <c r="H121" s="4" t="s">
        <v>51</v>
      </c>
    </row>
    <row r="122" spans="1:14" x14ac:dyDescent="0.25">
      <c r="A122" s="8" t="s">
        <v>11</v>
      </c>
      <c r="B122" s="9"/>
      <c r="C122" s="10">
        <f t="shared" si="15"/>
        <v>0</v>
      </c>
      <c r="D122" s="9"/>
      <c r="E122" s="10" t="e">
        <f>+D122/D131</f>
        <v>#DIV/0!</v>
      </c>
      <c r="F122" s="9">
        <f t="shared" si="18"/>
        <v>0</v>
      </c>
      <c r="G122" s="10">
        <f t="shared" si="17"/>
        <v>0</v>
      </c>
      <c r="H122" s="4" t="s">
        <v>45</v>
      </c>
    </row>
    <row r="123" spans="1:14" x14ac:dyDescent="0.25">
      <c r="A123" s="8" t="s">
        <v>12</v>
      </c>
      <c r="B123" s="9"/>
      <c r="C123" s="10">
        <f t="shared" si="15"/>
        <v>0</v>
      </c>
      <c r="D123" s="9"/>
      <c r="E123" s="10" t="e">
        <f>+D123/D131</f>
        <v>#DIV/0!</v>
      </c>
      <c r="F123" s="9">
        <f t="shared" si="18"/>
        <v>0</v>
      </c>
      <c r="G123" s="10">
        <f t="shared" si="17"/>
        <v>0</v>
      </c>
      <c r="H123" s="4" t="s">
        <v>42</v>
      </c>
    </row>
    <row r="124" spans="1:14" x14ac:dyDescent="0.25">
      <c r="A124" s="8" t="s">
        <v>13</v>
      </c>
      <c r="B124" s="9"/>
      <c r="C124" s="10">
        <f t="shared" si="15"/>
        <v>0</v>
      </c>
      <c r="D124" s="9"/>
      <c r="E124" s="10" t="e">
        <f>+D124/D131</f>
        <v>#DIV/0!</v>
      </c>
      <c r="F124" s="9">
        <f t="shared" si="18"/>
        <v>0</v>
      </c>
      <c r="G124" s="10">
        <f t="shared" si="17"/>
        <v>0</v>
      </c>
      <c r="H124" s="4" t="s">
        <v>47</v>
      </c>
    </row>
    <row r="125" spans="1:14" x14ac:dyDescent="0.25">
      <c r="A125" s="8" t="s">
        <v>14</v>
      </c>
      <c r="B125" s="9"/>
      <c r="C125" s="10">
        <f t="shared" si="15"/>
        <v>0</v>
      </c>
      <c r="D125" s="9"/>
      <c r="E125" s="10" t="e">
        <f>+D125/D131</f>
        <v>#DIV/0!</v>
      </c>
      <c r="F125" s="9">
        <f t="shared" si="18"/>
        <v>0</v>
      </c>
      <c r="G125" s="10">
        <f t="shared" si="17"/>
        <v>0</v>
      </c>
      <c r="H125" s="4" t="s">
        <v>50</v>
      </c>
    </row>
    <row r="126" spans="1:14" x14ac:dyDescent="0.25">
      <c r="A126" s="8" t="s">
        <v>15</v>
      </c>
      <c r="B126" s="9"/>
      <c r="C126" s="10">
        <f t="shared" si="15"/>
        <v>0</v>
      </c>
      <c r="D126" s="9"/>
      <c r="E126" s="10" t="e">
        <f>+D126/D131</f>
        <v>#DIV/0!</v>
      </c>
      <c r="F126" s="9">
        <f t="shared" si="18"/>
        <v>0</v>
      </c>
      <c r="G126" s="10">
        <f t="shared" si="17"/>
        <v>0</v>
      </c>
      <c r="H126" s="4" t="s">
        <v>52</v>
      </c>
    </row>
    <row r="127" spans="1:14" x14ac:dyDescent="0.25">
      <c r="A127" s="8" t="s">
        <v>16</v>
      </c>
      <c r="B127" s="9"/>
      <c r="C127" s="10">
        <f t="shared" si="15"/>
        <v>0</v>
      </c>
      <c r="D127" s="9"/>
      <c r="E127" s="10" t="e">
        <f>+D127/D131</f>
        <v>#DIV/0!</v>
      </c>
      <c r="F127" s="9">
        <f t="shared" si="18"/>
        <v>0</v>
      </c>
      <c r="G127" s="10">
        <f t="shared" si="17"/>
        <v>0</v>
      </c>
      <c r="H127" s="4" t="s">
        <v>49</v>
      </c>
    </row>
    <row r="128" spans="1:14" x14ac:dyDescent="0.25">
      <c r="A128" s="8" t="s">
        <v>17</v>
      </c>
      <c r="B128" s="9"/>
      <c r="C128" s="10">
        <f t="shared" si="15"/>
        <v>0</v>
      </c>
      <c r="D128" s="9"/>
      <c r="E128" s="10" t="e">
        <f>+D128/D131</f>
        <v>#DIV/0!</v>
      </c>
      <c r="F128" s="9">
        <f t="shared" si="18"/>
        <v>0</v>
      </c>
      <c r="G128" s="10">
        <f t="shared" si="17"/>
        <v>0</v>
      </c>
      <c r="H128" s="4" t="s">
        <v>43</v>
      </c>
    </row>
    <row r="129" spans="1:14" x14ac:dyDescent="0.25">
      <c r="A129" s="8" t="s">
        <v>18</v>
      </c>
      <c r="B129" s="9"/>
      <c r="C129" s="10">
        <f t="shared" si="15"/>
        <v>0</v>
      </c>
      <c r="D129" s="9"/>
      <c r="E129" s="10" t="e">
        <f>+D129/D131</f>
        <v>#DIV/0!</v>
      </c>
      <c r="F129" s="9">
        <f t="shared" si="18"/>
        <v>0</v>
      </c>
      <c r="G129" s="10">
        <f t="shared" si="17"/>
        <v>0</v>
      </c>
      <c r="H129" s="4" t="s">
        <v>46</v>
      </c>
    </row>
    <row r="130" spans="1:14" x14ac:dyDescent="0.25">
      <c r="A130" s="8" t="s">
        <v>19</v>
      </c>
      <c r="B130" s="9"/>
      <c r="C130" s="10">
        <f t="shared" si="15"/>
        <v>0</v>
      </c>
      <c r="D130" s="9"/>
      <c r="E130" s="10" t="e">
        <f>+D130/D131</f>
        <v>#DIV/0!</v>
      </c>
      <c r="F130" s="9">
        <f t="shared" si="18"/>
        <v>0</v>
      </c>
      <c r="G130" s="10">
        <f t="shared" si="17"/>
        <v>0</v>
      </c>
      <c r="H130" s="4" t="s">
        <v>53</v>
      </c>
    </row>
    <row r="131" spans="1:14" x14ac:dyDescent="0.25">
      <c r="A131" s="8" t="s">
        <v>21</v>
      </c>
      <c r="B131" s="11">
        <f>SUM(B117:B130)</f>
        <v>0</v>
      </c>
      <c r="C131" s="5">
        <f>SUM(C117:C130)</f>
        <v>0</v>
      </c>
      <c r="D131" s="11">
        <f>SUM(D117:D130)</f>
        <v>0</v>
      </c>
      <c r="E131" s="5" t="e">
        <f>SUM(E117:E130)</f>
        <v>#DIV/0!</v>
      </c>
      <c r="F131" s="11">
        <f>SUM(F117:F130)</f>
        <v>0</v>
      </c>
      <c r="G131" s="10">
        <f t="shared" si="17"/>
        <v>0</v>
      </c>
    </row>
    <row r="133" spans="1:14" x14ac:dyDescent="0.25">
      <c r="B133" s="33"/>
      <c r="J133" s="42" t="s">
        <v>0</v>
      </c>
      <c r="K133" s="2">
        <v>46203</v>
      </c>
      <c r="L133" s="44" t="s">
        <v>22</v>
      </c>
      <c r="M133" s="46" t="s">
        <v>23</v>
      </c>
      <c r="N133" s="47"/>
    </row>
    <row r="134" spans="1:14" x14ac:dyDescent="0.25">
      <c r="B134" s="33"/>
      <c r="J134" s="43"/>
      <c r="K134" s="32" t="s">
        <v>2</v>
      </c>
      <c r="L134" s="45"/>
      <c r="M134" s="6" t="s">
        <v>4</v>
      </c>
      <c r="N134" s="7" t="s">
        <v>5</v>
      </c>
    </row>
    <row r="135" spans="1:14" x14ac:dyDescent="0.25">
      <c r="J135" s="8" t="s">
        <v>6</v>
      </c>
      <c r="K135" s="9">
        <f>+B117</f>
        <v>0</v>
      </c>
      <c r="L135" s="36" t="s">
        <v>24</v>
      </c>
      <c r="M135" s="9"/>
      <c r="N135" s="10"/>
    </row>
    <row r="136" spans="1:14" x14ac:dyDescent="0.25">
      <c r="J136" s="8" t="s">
        <v>7</v>
      </c>
      <c r="K136" s="9">
        <f>+B118</f>
        <v>0</v>
      </c>
      <c r="L136" s="37"/>
      <c r="M136" s="36">
        <f>+K135+K136+K137+K138+K139+K140</f>
        <v>0</v>
      </c>
      <c r="N136" s="39" t="e">
        <f>+M136/K149</f>
        <v>#DIV/0!</v>
      </c>
    </row>
    <row r="137" spans="1:14" x14ac:dyDescent="0.25">
      <c r="B137" s="33"/>
      <c r="J137" s="8" t="s">
        <v>8</v>
      </c>
      <c r="K137" s="9">
        <f>+B119</f>
        <v>0</v>
      </c>
      <c r="L137" s="37"/>
      <c r="M137" s="37"/>
      <c r="N137" s="40"/>
    </row>
    <row r="138" spans="1:14" x14ac:dyDescent="0.25">
      <c r="J138" s="8" t="s">
        <v>9</v>
      </c>
      <c r="K138" s="9">
        <f t="shared" ref="K138:K139" si="19">+B120</f>
        <v>0</v>
      </c>
      <c r="L138" s="37"/>
      <c r="M138" s="37"/>
      <c r="N138" s="40"/>
    </row>
    <row r="139" spans="1:14" x14ac:dyDescent="0.25">
      <c r="J139" s="8" t="s">
        <v>10</v>
      </c>
      <c r="K139" s="9">
        <f t="shared" si="19"/>
        <v>0</v>
      </c>
      <c r="L139" s="37"/>
      <c r="M139" s="37"/>
      <c r="N139" s="40"/>
    </row>
    <row r="140" spans="1:14" x14ac:dyDescent="0.25">
      <c r="J140" s="8" t="s">
        <v>11</v>
      </c>
      <c r="K140" s="9">
        <f>+B122</f>
        <v>0</v>
      </c>
      <c r="L140" s="38"/>
      <c r="M140" s="38"/>
      <c r="N140" s="41"/>
    </row>
    <row r="141" spans="1:14" x14ac:dyDescent="0.25">
      <c r="J141" s="8" t="s">
        <v>12</v>
      </c>
      <c r="K141" s="9">
        <f t="shared" ref="K141:K148" si="20">+B123</f>
        <v>0</v>
      </c>
      <c r="L141" s="36" t="s">
        <v>25</v>
      </c>
      <c r="M141" s="36">
        <f>+K141+K142+K143</f>
        <v>0</v>
      </c>
      <c r="N141" s="39" t="e">
        <f>+M141/K149</f>
        <v>#DIV/0!</v>
      </c>
    </row>
    <row r="142" spans="1:14" x14ac:dyDescent="0.25">
      <c r="J142" s="8" t="s">
        <v>13</v>
      </c>
      <c r="K142" s="9">
        <f t="shared" si="20"/>
        <v>0</v>
      </c>
      <c r="L142" s="37"/>
      <c r="M142" s="37"/>
      <c r="N142" s="40"/>
    </row>
    <row r="143" spans="1:14" x14ac:dyDescent="0.25">
      <c r="J143" s="8" t="s">
        <v>14</v>
      </c>
      <c r="K143" s="9">
        <f t="shared" si="20"/>
        <v>0</v>
      </c>
      <c r="L143" s="38"/>
      <c r="M143" s="38"/>
      <c r="N143" s="41"/>
    </row>
    <row r="144" spans="1:14" x14ac:dyDescent="0.25">
      <c r="J144" s="8" t="s">
        <v>15</v>
      </c>
      <c r="K144" s="9">
        <f t="shared" si="20"/>
        <v>0</v>
      </c>
      <c r="L144" s="36" t="s">
        <v>26</v>
      </c>
      <c r="M144" s="36">
        <f>+K144+K145+K146+K147+K148</f>
        <v>0</v>
      </c>
      <c r="N144" s="39" t="e">
        <f>+M144/K149</f>
        <v>#DIV/0!</v>
      </c>
    </row>
    <row r="145" spans="2:14" x14ac:dyDescent="0.25">
      <c r="J145" s="8" t="s">
        <v>16</v>
      </c>
      <c r="K145" s="9">
        <f t="shared" si="20"/>
        <v>0</v>
      </c>
      <c r="L145" s="37"/>
      <c r="M145" s="37"/>
      <c r="N145" s="40"/>
    </row>
    <row r="146" spans="2:14" x14ac:dyDescent="0.25">
      <c r="J146" s="8" t="s">
        <v>17</v>
      </c>
      <c r="K146" s="9">
        <f t="shared" si="20"/>
        <v>0</v>
      </c>
      <c r="L146" s="37"/>
      <c r="M146" s="37"/>
      <c r="N146" s="40"/>
    </row>
    <row r="147" spans="2:14" x14ac:dyDescent="0.25">
      <c r="J147" s="8" t="s">
        <v>18</v>
      </c>
      <c r="K147" s="9">
        <f t="shared" si="20"/>
        <v>0</v>
      </c>
      <c r="L147" s="37"/>
      <c r="M147" s="37"/>
      <c r="N147" s="40"/>
    </row>
    <row r="148" spans="2:14" x14ac:dyDescent="0.25">
      <c r="J148" s="8" t="s">
        <v>19</v>
      </c>
      <c r="K148" s="9">
        <f t="shared" si="20"/>
        <v>0</v>
      </c>
      <c r="L148" s="38"/>
      <c r="M148" s="38"/>
      <c r="N148" s="41"/>
    </row>
    <row r="149" spans="2:14" x14ac:dyDescent="0.25">
      <c r="J149" s="8" t="s">
        <v>21</v>
      </c>
      <c r="K149" s="11">
        <f>SUM(K135:K148)</f>
        <v>0</v>
      </c>
      <c r="L149" s="11"/>
      <c r="M149" s="11">
        <f>SUM(M135:M148)</f>
        <v>0</v>
      </c>
      <c r="N149" s="10" t="e">
        <f>+M149/K149</f>
        <v>#DIV/0!</v>
      </c>
    </row>
    <row r="160" spans="2:14" x14ac:dyDescent="0.25">
      <c r="B160" s="4" t="s">
        <v>55</v>
      </c>
    </row>
  </sheetData>
  <mergeCells count="60">
    <mergeCell ref="L144:L148"/>
    <mergeCell ref="M144:M148"/>
    <mergeCell ref="N144:N148"/>
    <mergeCell ref="M133:N133"/>
    <mergeCell ref="L135:L140"/>
    <mergeCell ref="M136:M140"/>
    <mergeCell ref="N136:N140"/>
    <mergeCell ref="L141:L143"/>
    <mergeCell ref="M141:M143"/>
    <mergeCell ref="N141:N143"/>
    <mergeCell ref="A115:A116"/>
    <mergeCell ref="B115:C115"/>
    <mergeCell ref="F115:G115"/>
    <mergeCell ref="J133:J134"/>
    <mergeCell ref="L133:L134"/>
    <mergeCell ref="M21:N21"/>
    <mergeCell ref="A2:A3"/>
    <mergeCell ref="B2:C2"/>
    <mergeCell ref="F2:G2"/>
    <mergeCell ref="J21:J22"/>
    <mergeCell ref="L21:L22"/>
    <mergeCell ref="L23:L28"/>
    <mergeCell ref="M24:M28"/>
    <mergeCell ref="N24:N28"/>
    <mergeCell ref="L29:L31"/>
    <mergeCell ref="M29:M31"/>
    <mergeCell ref="N29:N31"/>
    <mergeCell ref="L32:L36"/>
    <mergeCell ref="M32:M36"/>
    <mergeCell ref="N32:N36"/>
    <mergeCell ref="A42:A43"/>
    <mergeCell ref="B42:C42"/>
    <mergeCell ref="F42:G42"/>
    <mergeCell ref="J61:J62"/>
    <mergeCell ref="L61:L62"/>
    <mergeCell ref="M61:N61"/>
    <mergeCell ref="L63:L68"/>
    <mergeCell ref="M64:M68"/>
    <mergeCell ref="N64:N68"/>
    <mergeCell ref="A79:A80"/>
    <mergeCell ref="B79:C79"/>
    <mergeCell ref="L69:L71"/>
    <mergeCell ref="M69:M71"/>
    <mergeCell ref="N69:N71"/>
    <mergeCell ref="L72:L76"/>
    <mergeCell ref="M72:M76"/>
    <mergeCell ref="N72:N76"/>
    <mergeCell ref="F79:G79"/>
    <mergeCell ref="J97:J98"/>
    <mergeCell ref="L97:L98"/>
    <mergeCell ref="M97:N97"/>
    <mergeCell ref="L99:L104"/>
    <mergeCell ref="M100:M104"/>
    <mergeCell ref="N100:N104"/>
    <mergeCell ref="L105:L107"/>
    <mergeCell ref="M105:M107"/>
    <mergeCell ref="N105:N107"/>
    <mergeCell ref="L108:L112"/>
    <mergeCell ref="M108:M112"/>
    <mergeCell ref="N108:N11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F7765-1E69-4FF0-A365-5B6A4B34F325}">
  <dimension ref="A2:R55"/>
  <sheetViews>
    <sheetView topLeftCell="H34" workbookViewId="0">
      <selection activeCell="N46" sqref="N46:N54"/>
    </sheetView>
  </sheetViews>
  <sheetFormatPr baseColWidth="10" defaultRowHeight="15" x14ac:dyDescent="0.25"/>
  <cols>
    <col min="1" max="1" width="50.28515625" customWidth="1"/>
    <col min="2" max="2" width="19.28515625" bestFit="1" customWidth="1"/>
    <col min="4" max="4" width="19.28515625" bestFit="1" customWidth="1"/>
    <col min="6" max="6" width="19" customWidth="1"/>
    <col min="10" max="10" width="12.28515625" bestFit="1" customWidth="1"/>
    <col min="11" max="11" width="48.28515625" customWidth="1"/>
    <col min="12" max="12" width="20.42578125" customWidth="1"/>
    <col min="13" max="13" width="10.7109375" customWidth="1"/>
    <col min="14" max="14" width="21.140625" customWidth="1"/>
    <col min="16" max="16" width="18.85546875" customWidth="1"/>
    <col min="17" max="17" width="12" customWidth="1"/>
  </cols>
  <sheetData>
    <row r="2" spans="1:7" s="4" customFormat="1" x14ac:dyDescent="0.25">
      <c r="A2" s="42" t="s">
        <v>35</v>
      </c>
      <c r="B2" s="48">
        <v>45291</v>
      </c>
      <c r="C2" s="49"/>
      <c r="D2" s="2">
        <v>44926</v>
      </c>
      <c r="E2" s="3"/>
      <c r="F2" s="46" t="s">
        <v>1</v>
      </c>
      <c r="G2" s="47"/>
    </row>
    <row r="3" spans="1:7" s="4" customFormat="1" x14ac:dyDescent="0.25">
      <c r="A3" s="43"/>
      <c r="B3" s="1" t="s">
        <v>2</v>
      </c>
      <c r="C3" s="5" t="s">
        <v>3</v>
      </c>
      <c r="D3" s="1" t="s">
        <v>2</v>
      </c>
      <c r="E3" s="5" t="s">
        <v>3</v>
      </c>
      <c r="F3" s="6" t="s">
        <v>4</v>
      </c>
      <c r="G3" s="7" t="s">
        <v>5</v>
      </c>
    </row>
    <row r="4" spans="1:7" s="4" customFormat="1" x14ac:dyDescent="0.25">
      <c r="A4" s="8" t="s">
        <v>34</v>
      </c>
      <c r="B4" s="9">
        <v>16611862145</v>
      </c>
      <c r="C4" s="10">
        <f>+B4/B12</f>
        <v>0.57229644276445824</v>
      </c>
      <c r="D4" s="9">
        <v>18923847022</v>
      </c>
      <c r="E4" s="10">
        <f>+D4/D12</f>
        <v>0.61842401422287885</v>
      </c>
      <c r="F4" s="9">
        <f t="shared" ref="F4:F10" si="0">+B4-D4</f>
        <v>-2311984877</v>
      </c>
      <c r="G4" s="10">
        <f t="shared" ref="G4:G10" si="1">+F4/D4</f>
        <v>-0.1221730906148307</v>
      </c>
    </row>
    <row r="5" spans="1:7" s="4" customFormat="1" x14ac:dyDescent="0.25">
      <c r="A5" s="8" t="s">
        <v>33</v>
      </c>
      <c r="B5" s="9">
        <v>1150951850</v>
      </c>
      <c r="C5" s="10">
        <f>+B5/B12</f>
        <v>3.9651523941067017E-2</v>
      </c>
      <c r="D5" s="9">
        <v>1885497539</v>
      </c>
      <c r="E5" s="10">
        <f>+D5/D12</f>
        <v>6.161733158803058E-2</v>
      </c>
      <c r="F5" s="9">
        <f t="shared" si="0"/>
        <v>-734545689</v>
      </c>
      <c r="G5" s="10">
        <f t="shared" si="1"/>
        <v>-0.38957658326596206</v>
      </c>
    </row>
    <row r="6" spans="1:7" s="4" customFormat="1" x14ac:dyDescent="0.25">
      <c r="A6" s="8" t="s">
        <v>32</v>
      </c>
      <c r="B6" s="9">
        <v>410118000</v>
      </c>
      <c r="C6" s="10">
        <f>+B6/B12</f>
        <v>1.4129004350323189E-2</v>
      </c>
      <c r="D6" s="9">
        <v>363744748</v>
      </c>
      <c r="E6" s="10">
        <f>+D6/D12</f>
        <v>1.1887037923585761E-2</v>
      </c>
      <c r="F6" s="9">
        <f t="shared" si="0"/>
        <v>46373252</v>
      </c>
      <c r="G6" s="10">
        <f t="shared" si="1"/>
        <v>0.127488444176794</v>
      </c>
    </row>
    <row r="7" spans="1:7" s="4" customFormat="1" x14ac:dyDescent="0.25">
      <c r="A7" s="8" t="s">
        <v>31</v>
      </c>
      <c r="B7" s="9">
        <v>847631620</v>
      </c>
      <c r="C7" s="10">
        <f>+B7/B12</f>
        <v>2.9201817151286925E-2</v>
      </c>
      <c r="D7" s="9">
        <v>661239584</v>
      </c>
      <c r="E7" s="10">
        <f>+D7/D12</f>
        <v>2.1609054301958121E-2</v>
      </c>
      <c r="F7" s="9">
        <f t="shared" si="0"/>
        <v>186392036</v>
      </c>
      <c r="G7" s="10">
        <f t="shared" si="1"/>
        <v>0.2818827555248114</v>
      </c>
    </row>
    <row r="8" spans="1:7" s="4" customFormat="1" x14ac:dyDescent="0.25">
      <c r="A8" s="8" t="s">
        <v>30</v>
      </c>
      <c r="B8" s="9">
        <v>9944166984</v>
      </c>
      <c r="C8" s="10">
        <f>+B8/B12</f>
        <v>0.34258720313977009</v>
      </c>
      <c r="D8" s="9">
        <v>8717715871</v>
      </c>
      <c r="E8" s="10">
        <f>+D8/D12</f>
        <v>0.28489158877318682</v>
      </c>
      <c r="F8" s="9">
        <f t="shared" si="0"/>
        <v>1226451113</v>
      </c>
      <c r="G8" s="10">
        <f t="shared" si="1"/>
        <v>0.14068491462079677</v>
      </c>
    </row>
    <row r="9" spans="1:7" s="4" customFormat="1" x14ac:dyDescent="0.25">
      <c r="A9" s="8" t="s">
        <v>29</v>
      </c>
      <c r="B9" s="9">
        <v>60578173</v>
      </c>
      <c r="C9" s="10">
        <f>+B9/B12</f>
        <v>2.0869829411331148E-3</v>
      </c>
      <c r="D9" s="9">
        <v>43679813</v>
      </c>
      <c r="E9" s="10">
        <f>+D9/D12</f>
        <v>1.4274394241594228E-3</v>
      </c>
      <c r="F9" s="9">
        <f t="shared" si="0"/>
        <v>16898360</v>
      </c>
      <c r="G9" s="10">
        <f t="shared" si="1"/>
        <v>0.38686887235529144</v>
      </c>
    </row>
    <row r="10" spans="1:7" s="4" customFormat="1" x14ac:dyDescent="0.25">
      <c r="A10" s="8" t="s">
        <v>28</v>
      </c>
      <c r="B10" s="9">
        <v>1365000</v>
      </c>
      <c r="C10" s="10">
        <f>+B10/B12</f>
        <v>4.7025711961413914E-5</v>
      </c>
      <c r="D10" s="9">
        <v>4392150</v>
      </c>
      <c r="E10" s="10">
        <f>+D10/D12</f>
        <v>1.435337662004599E-4</v>
      </c>
      <c r="F10" s="9">
        <f t="shared" si="0"/>
        <v>-3027150</v>
      </c>
      <c r="G10" s="10">
        <f t="shared" si="1"/>
        <v>-0.68921826440353817</v>
      </c>
    </row>
    <row r="11" spans="1:7" s="4" customFormat="1" x14ac:dyDescent="0.25">
      <c r="A11" s="8"/>
      <c r="B11" s="9"/>
      <c r="C11" s="10"/>
      <c r="D11" s="9"/>
      <c r="E11" s="10"/>
      <c r="F11" s="9"/>
      <c r="G11" s="10"/>
    </row>
    <row r="12" spans="1:7" s="4" customFormat="1" x14ac:dyDescent="0.25">
      <c r="A12" s="8" t="s">
        <v>21</v>
      </c>
      <c r="B12" s="11">
        <f>SUM(B4:B11)</f>
        <v>29026673772</v>
      </c>
      <c r="C12" s="5">
        <f>SUM(C4:C11)</f>
        <v>0.99999999999999989</v>
      </c>
      <c r="D12" s="11">
        <f>SUM(D4:D11)</f>
        <v>30600116727</v>
      </c>
      <c r="E12" s="5">
        <f>SUM(E4:E11)</f>
        <v>1.0000000000000002</v>
      </c>
      <c r="F12" s="11">
        <f>SUM(F4:F11)</f>
        <v>-1573442955</v>
      </c>
      <c r="G12" s="10">
        <f>+F12/D12</f>
        <v>-5.1419508266505182E-2</v>
      </c>
    </row>
    <row r="17" spans="1:18" x14ac:dyDescent="0.25">
      <c r="K17" s="42" t="s">
        <v>35</v>
      </c>
      <c r="L17" s="48">
        <v>45657</v>
      </c>
      <c r="M17" s="49"/>
      <c r="N17" s="2">
        <v>45291</v>
      </c>
      <c r="O17" s="3"/>
      <c r="P17" s="46" t="s">
        <v>1</v>
      </c>
      <c r="Q17" s="47"/>
    </row>
    <row r="18" spans="1:18" x14ac:dyDescent="0.25">
      <c r="K18" s="43"/>
      <c r="L18" s="1" t="s">
        <v>2</v>
      </c>
      <c r="M18" s="5" t="s">
        <v>3</v>
      </c>
      <c r="N18" s="1" t="s">
        <v>2</v>
      </c>
      <c r="O18" s="5" t="s">
        <v>3</v>
      </c>
      <c r="P18" s="6" t="s">
        <v>4</v>
      </c>
      <c r="Q18" s="7" t="s">
        <v>5</v>
      </c>
      <c r="R18" s="18"/>
    </row>
    <row r="19" spans="1:18" x14ac:dyDescent="0.25">
      <c r="K19" s="17" t="s">
        <v>34</v>
      </c>
      <c r="L19" s="19">
        <v>15715812976</v>
      </c>
      <c r="M19" s="14">
        <f>+L19/L27</f>
        <v>0.55454586386968774</v>
      </c>
      <c r="N19" s="19">
        <v>16611862145</v>
      </c>
      <c r="O19" s="14">
        <f>+N19/N27</f>
        <v>0.57229644276445824</v>
      </c>
      <c r="P19" s="19">
        <f t="shared" ref="P19:P25" si="2">+L19-N19</f>
        <v>-896049169</v>
      </c>
      <c r="Q19" s="14">
        <f t="shared" ref="Q19:Q25" si="3">+P19/N19</f>
        <v>-5.394032054797069E-2</v>
      </c>
    </row>
    <row r="20" spans="1:18" x14ac:dyDescent="0.25">
      <c r="K20" s="17" t="s">
        <v>33</v>
      </c>
      <c r="L20" s="19">
        <v>1128184993</v>
      </c>
      <c r="M20" s="14">
        <f>+L20/L27</f>
        <v>3.9808969634814173E-2</v>
      </c>
      <c r="N20" s="19">
        <v>1150951850</v>
      </c>
      <c r="O20" s="14">
        <f>+N20/N27</f>
        <v>3.9651523941067017E-2</v>
      </c>
      <c r="P20" s="19">
        <f t="shared" si="2"/>
        <v>-22766857</v>
      </c>
      <c r="Q20" s="14">
        <f t="shared" si="3"/>
        <v>-1.9780894396233865E-2</v>
      </c>
    </row>
    <row r="21" spans="1:18" x14ac:dyDescent="0.25">
      <c r="K21" s="17" t="s">
        <v>32</v>
      </c>
      <c r="L21" s="19">
        <v>120562050</v>
      </c>
      <c r="M21" s="14">
        <f>+L21/L27</f>
        <v>4.2541347539099455E-3</v>
      </c>
      <c r="N21" s="19">
        <v>410118000</v>
      </c>
      <c r="O21" s="14">
        <f>+N21/N27</f>
        <v>1.4129004350323189E-2</v>
      </c>
      <c r="P21" s="19">
        <f t="shared" si="2"/>
        <v>-289555950</v>
      </c>
      <c r="Q21" s="14">
        <f t="shared" si="3"/>
        <v>-0.70603082527467709</v>
      </c>
    </row>
    <row r="22" spans="1:18" x14ac:dyDescent="0.25">
      <c r="K22" s="17" t="s">
        <v>31</v>
      </c>
      <c r="L22" s="19">
        <v>803270827</v>
      </c>
      <c r="M22" s="14">
        <f>+L22/L27</f>
        <v>2.8344096188997147E-2</v>
      </c>
      <c r="N22" s="19">
        <f>+B7</f>
        <v>847631620</v>
      </c>
      <c r="O22" s="14">
        <f>+N22/N27</f>
        <v>2.9201817151286925E-2</v>
      </c>
      <c r="P22" s="19">
        <f t="shared" si="2"/>
        <v>-44360793</v>
      </c>
      <c r="Q22" s="14">
        <f t="shared" si="3"/>
        <v>-5.2334990759311223E-2</v>
      </c>
    </row>
    <row r="23" spans="1:18" x14ac:dyDescent="0.25">
      <c r="K23" s="17" t="s">
        <v>30</v>
      </c>
      <c r="L23" s="19">
        <f>9922324123-100754665</f>
        <v>9821569458</v>
      </c>
      <c r="M23" s="14">
        <f>+L23/L27</f>
        <v>0.34656245451382311</v>
      </c>
      <c r="N23" s="19">
        <v>9944166984</v>
      </c>
      <c r="O23" s="14">
        <f>+N23/N27</f>
        <v>0.34258720313977009</v>
      </c>
      <c r="P23" s="19">
        <f t="shared" si="2"/>
        <v>-122597526</v>
      </c>
      <c r="Q23" s="14">
        <f t="shared" si="3"/>
        <v>-1.2328586818509523E-2</v>
      </c>
    </row>
    <row r="24" spans="1:18" x14ac:dyDescent="0.25">
      <c r="K24" s="17" t="s">
        <v>29</v>
      </c>
      <c r="L24" s="19">
        <v>82940700</v>
      </c>
      <c r="M24" s="14">
        <f>+L24/L27</f>
        <v>2.9266333343172133E-3</v>
      </c>
      <c r="N24" s="19">
        <v>60578173</v>
      </c>
      <c r="O24" s="14">
        <f>+N24/N27</f>
        <v>2.0869829411331148E-3</v>
      </c>
      <c r="P24" s="19">
        <f t="shared" si="2"/>
        <v>22362527</v>
      </c>
      <c r="Q24" s="14">
        <f t="shared" si="3"/>
        <v>0.36915155892865903</v>
      </c>
    </row>
    <row r="25" spans="1:18" x14ac:dyDescent="0.25">
      <c r="K25" s="17" t="s">
        <v>28</v>
      </c>
      <c r="L25" s="19">
        <v>963000</v>
      </c>
      <c r="M25" s="14">
        <f>+L25/L27</f>
        <v>3.3980276281095729E-5</v>
      </c>
      <c r="N25" s="19">
        <v>1365000</v>
      </c>
      <c r="O25" s="14">
        <f>+N25/N27</f>
        <v>4.7025711961413914E-5</v>
      </c>
      <c r="P25" s="19">
        <f t="shared" si="2"/>
        <v>-402000</v>
      </c>
      <c r="Q25" s="14">
        <f t="shared" si="3"/>
        <v>-0.29450549450549451</v>
      </c>
    </row>
    <row r="26" spans="1:18" x14ac:dyDescent="0.25">
      <c r="K26" s="17" t="s">
        <v>27</v>
      </c>
      <c r="L26" s="19">
        <v>666665690</v>
      </c>
      <c r="M26" s="14">
        <f>+L26/L27</f>
        <v>2.3523867428169594E-2</v>
      </c>
      <c r="N26" s="19"/>
      <c r="O26" s="14"/>
      <c r="P26" s="19"/>
      <c r="Q26" s="14"/>
      <c r="R26" s="18"/>
    </row>
    <row r="27" spans="1:18" x14ac:dyDescent="0.25">
      <c r="K27" s="17" t="s">
        <v>21</v>
      </c>
      <c r="L27" s="15">
        <f>SUM(L19:L26)</f>
        <v>28339969694</v>
      </c>
      <c r="M27" s="16">
        <f>SUM(M19:M26)</f>
        <v>1</v>
      </c>
      <c r="N27" s="15">
        <f>SUM(N19:N26)</f>
        <v>29026673772</v>
      </c>
      <c r="O27" s="16">
        <f>SUM(O19:O26)</f>
        <v>0.99999999999999989</v>
      </c>
      <c r="P27" s="15">
        <f>SUM(P19:P26)</f>
        <v>-1353369768</v>
      </c>
      <c r="Q27" s="14">
        <f>+P27/N27</f>
        <v>-4.662503801263998E-2</v>
      </c>
    </row>
    <row r="30" spans="1:18" x14ac:dyDescent="0.25">
      <c r="A30" s="42" t="s">
        <v>35</v>
      </c>
      <c r="B30" s="48">
        <v>46022</v>
      </c>
      <c r="C30" s="49"/>
      <c r="D30" s="2">
        <v>45657</v>
      </c>
      <c r="E30" s="3"/>
      <c r="F30" s="46" t="s">
        <v>1</v>
      </c>
      <c r="G30" s="47"/>
    </row>
    <row r="31" spans="1:18" x14ac:dyDescent="0.25">
      <c r="A31" s="43"/>
      <c r="B31" s="1" t="s">
        <v>2</v>
      </c>
      <c r="C31" s="5" t="s">
        <v>3</v>
      </c>
      <c r="D31" s="1" t="s">
        <v>2</v>
      </c>
      <c r="E31" s="5" t="s">
        <v>3</v>
      </c>
      <c r="F31" s="6" t="s">
        <v>4</v>
      </c>
      <c r="G31" s="7" t="s">
        <v>5</v>
      </c>
    </row>
    <row r="32" spans="1:18" x14ac:dyDescent="0.25">
      <c r="A32" s="17" t="s">
        <v>34</v>
      </c>
      <c r="B32" s="19">
        <v>16631484065.66</v>
      </c>
      <c r="C32" s="14">
        <f t="shared" ref="C32:C40" si="4">+B32/$B$41</f>
        <v>0.49118634111508552</v>
      </c>
      <c r="D32" s="19">
        <v>15715812976</v>
      </c>
      <c r="E32" s="14">
        <f t="shared" ref="E32:E40" si="5">+D32/$D$41</f>
        <v>0.55454586386968774</v>
      </c>
      <c r="F32" s="19">
        <f t="shared" ref="F32:F40" si="6">+B32-D32</f>
        <v>915671089.65999985</v>
      </c>
      <c r="G32" s="14">
        <f t="shared" ref="G32:G41" si="7">+F32/$D$32</f>
        <v>5.8264315760078303E-2</v>
      </c>
    </row>
    <row r="33" spans="1:17" x14ac:dyDescent="0.25">
      <c r="A33" s="17" t="s">
        <v>33</v>
      </c>
      <c r="B33" s="19">
        <v>1447158682</v>
      </c>
      <c r="C33" s="14">
        <f t="shared" si="4"/>
        <v>4.2739696302399779E-2</v>
      </c>
      <c r="D33" s="19">
        <v>1128184993</v>
      </c>
      <c r="E33" s="14">
        <f t="shared" si="5"/>
        <v>3.9808969634814173E-2</v>
      </c>
      <c r="F33" s="19">
        <f t="shared" si="6"/>
        <v>318973689</v>
      </c>
      <c r="G33" s="14">
        <f t="shared" si="7"/>
        <v>2.0296353073627975E-2</v>
      </c>
    </row>
    <row r="34" spans="1:17" x14ac:dyDescent="0.25">
      <c r="A34" s="17" t="s">
        <v>32</v>
      </c>
      <c r="B34" s="19">
        <v>237684210</v>
      </c>
      <c r="C34" s="14">
        <f t="shared" si="4"/>
        <v>7.0196524248719626E-3</v>
      </c>
      <c r="D34" s="19">
        <v>120562050</v>
      </c>
      <c r="E34" s="14">
        <f t="shared" si="5"/>
        <v>4.2541347539099455E-3</v>
      </c>
      <c r="F34" s="19">
        <f t="shared" si="6"/>
        <v>117122160</v>
      </c>
      <c r="G34" s="14">
        <f t="shared" si="7"/>
        <v>7.4525040593738353E-3</v>
      </c>
    </row>
    <row r="35" spans="1:17" x14ac:dyDescent="0.25">
      <c r="A35" s="17" t="s">
        <v>31</v>
      </c>
      <c r="B35" s="19">
        <v>671134595</v>
      </c>
      <c r="C35" s="14">
        <f t="shared" si="4"/>
        <v>1.9820969963495735E-2</v>
      </c>
      <c r="D35" s="19">
        <v>803270827</v>
      </c>
      <c r="E35" s="14">
        <f t="shared" si="5"/>
        <v>2.8344096188997147E-2</v>
      </c>
      <c r="F35" s="19">
        <f t="shared" si="6"/>
        <v>-132136232</v>
      </c>
      <c r="G35" s="14">
        <f t="shared" si="7"/>
        <v>-8.4078521551375334E-3</v>
      </c>
    </row>
    <row r="36" spans="1:17" x14ac:dyDescent="0.25">
      <c r="A36" s="17" t="s">
        <v>30</v>
      </c>
      <c r="B36" s="19">
        <v>12571877115.98</v>
      </c>
      <c r="C36" s="14">
        <f t="shared" si="4"/>
        <v>0.3712918400527378</v>
      </c>
      <c r="D36" s="19">
        <v>9821569458</v>
      </c>
      <c r="E36" s="14">
        <f t="shared" si="5"/>
        <v>0.34656245451382311</v>
      </c>
      <c r="F36" s="19">
        <f t="shared" si="6"/>
        <v>2750307657.9799995</v>
      </c>
      <c r="G36" s="14">
        <f t="shared" si="7"/>
        <v>0.1750025698435112</v>
      </c>
      <c r="J36" s="13"/>
    </row>
    <row r="37" spans="1:17" x14ac:dyDescent="0.25">
      <c r="A37" s="17" t="s">
        <v>29</v>
      </c>
      <c r="B37" s="19">
        <v>251725950</v>
      </c>
      <c r="C37" s="14">
        <f t="shared" si="4"/>
        <v>7.4343544963323327E-3</v>
      </c>
      <c r="D37" s="19">
        <v>82940700</v>
      </c>
      <c r="E37" s="14">
        <f t="shared" si="5"/>
        <v>2.9266333343172133E-3</v>
      </c>
      <c r="F37" s="19">
        <f t="shared" si="6"/>
        <v>168785250</v>
      </c>
      <c r="G37" s="14">
        <f t="shared" si="7"/>
        <v>1.0739835747457422E-2</v>
      </c>
    </row>
    <row r="38" spans="1:17" x14ac:dyDescent="0.25">
      <c r="A38" s="17" t="s">
        <v>28</v>
      </c>
      <c r="B38" s="19">
        <v>23521260</v>
      </c>
      <c r="C38" s="14">
        <f t="shared" si="4"/>
        <v>6.9466570705325309E-4</v>
      </c>
      <c r="D38" s="19">
        <v>963000</v>
      </c>
      <c r="E38" s="14">
        <f t="shared" si="5"/>
        <v>3.3980276281095729E-5</v>
      </c>
      <c r="F38" s="19">
        <f t="shared" si="6"/>
        <v>22558260</v>
      </c>
      <c r="G38" s="14">
        <f t="shared" si="7"/>
        <v>1.4353861320727899E-3</v>
      </c>
    </row>
    <row r="39" spans="1:17" x14ac:dyDescent="0.25">
      <c r="A39" s="17" t="s">
        <v>56</v>
      </c>
      <c r="B39" s="19">
        <v>970092520</v>
      </c>
      <c r="C39" s="14">
        <f t="shared" si="4"/>
        <v>2.8650251147807223E-2</v>
      </c>
      <c r="D39" s="19"/>
      <c r="E39" s="14">
        <f t="shared" si="5"/>
        <v>0</v>
      </c>
      <c r="F39" s="19">
        <f t="shared" si="6"/>
        <v>970092520</v>
      </c>
      <c r="G39" s="14">
        <f t="shared" si="7"/>
        <v>6.1727161139003874E-2</v>
      </c>
    </row>
    <row r="40" spans="1:17" x14ac:dyDescent="0.25">
      <c r="A40" s="17" t="s">
        <v>27</v>
      </c>
      <c r="B40" s="19">
        <v>1055147646</v>
      </c>
      <c r="C40" s="14">
        <f t="shared" si="4"/>
        <v>3.116222879021641E-2</v>
      </c>
      <c r="D40" s="19">
        <v>666665690</v>
      </c>
      <c r="E40" s="14">
        <f t="shared" si="5"/>
        <v>2.3523867428169594E-2</v>
      </c>
      <c r="F40" s="19">
        <f t="shared" si="6"/>
        <v>388481956</v>
      </c>
      <c r="G40" s="14">
        <f t="shared" si="7"/>
        <v>2.4719176576691274E-2</v>
      </c>
    </row>
    <row r="41" spans="1:17" x14ac:dyDescent="0.25">
      <c r="A41" s="17" t="s">
        <v>21</v>
      </c>
      <c r="B41" s="15">
        <f>SUM(B32:B40)</f>
        <v>33859826044.639999</v>
      </c>
      <c r="C41" s="16">
        <f>SUM(C32:C40)</f>
        <v>1</v>
      </c>
      <c r="D41" s="15">
        <f>SUM(D32:D40)</f>
        <v>28339969694</v>
      </c>
      <c r="E41" s="16">
        <f>SUM(E32:E40)</f>
        <v>1</v>
      </c>
      <c r="F41" s="15">
        <f>SUM(F32:F40)</f>
        <v>5519856350.6399994</v>
      </c>
      <c r="G41" s="14">
        <f t="shared" si="7"/>
        <v>0.35122945017667911</v>
      </c>
    </row>
    <row r="43" spans="1:17" x14ac:dyDescent="0.25">
      <c r="B43" s="13"/>
      <c r="C43" s="13"/>
      <c r="L43" s="13"/>
    </row>
    <row r="44" spans="1:17" x14ac:dyDescent="0.25">
      <c r="K44" s="42" t="s">
        <v>35</v>
      </c>
      <c r="L44" s="48">
        <v>46203</v>
      </c>
      <c r="M44" s="49"/>
      <c r="N44" s="2">
        <v>45838</v>
      </c>
      <c r="O44" s="3"/>
      <c r="P44" s="46" t="s">
        <v>1</v>
      </c>
      <c r="Q44" s="47"/>
    </row>
    <row r="45" spans="1:17" x14ac:dyDescent="0.25">
      <c r="B45" s="13"/>
      <c r="K45" s="43"/>
      <c r="L45" s="32" t="s">
        <v>2</v>
      </c>
      <c r="M45" s="5" t="s">
        <v>3</v>
      </c>
      <c r="N45" s="32" t="s">
        <v>2</v>
      </c>
      <c r="O45" s="5" t="s">
        <v>3</v>
      </c>
      <c r="P45" s="6" t="s">
        <v>4</v>
      </c>
      <c r="Q45" s="7" t="s">
        <v>5</v>
      </c>
    </row>
    <row r="46" spans="1:17" x14ac:dyDescent="0.25">
      <c r="B46" s="13"/>
      <c r="K46" s="17" t="s">
        <v>34</v>
      </c>
      <c r="L46" s="19"/>
      <c r="M46" s="14" t="e">
        <f>+L46/L55</f>
        <v>#DIV/0!</v>
      </c>
      <c r="N46" s="19"/>
      <c r="O46" s="14" t="e">
        <f>+N46/N55</f>
        <v>#DIV/0!</v>
      </c>
      <c r="P46" s="19">
        <f t="shared" ref="P46:P54" si="8">+L46-N46</f>
        <v>0</v>
      </c>
      <c r="Q46" s="14" t="e">
        <f t="shared" ref="Q46:Q54" si="9">+P46/N46</f>
        <v>#DIV/0!</v>
      </c>
    </row>
    <row r="47" spans="1:17" x14ac:dyDescent="0.25">
      <c r="K47" s="17" t="s">
        <v>33</v>
      </c>
      <c r="L47" s="19"/>
      <c r="M47" s="14" t="e">
        <f>+L47/L55</f>
        <v>#DIV/0!</v>
      </c>
      <c r="N47" s="19"/>
      <c r="O47" s="14" t="e">
        <f>+N47/N55</f>
        <v>#DIV/0!</v>
      </c>
      <c r="P47" s="19">
        <f t="shared" si="8"/>
        <v>0</v>
      </c>
      <c r="Q47" s="14" t="e">
        <f t="shared" si="9"/>
        <v>#DIV/0!</v>
      </c>
    </row>
    <row r="48" spans="1:17" x14ac:dyDescent="0.25">
      <c r="K48" s="17" t="s">
        <v>32</v>
      </c>
      <c r="L48" s="19"/>
      <c r="M48" s="14" t="e">
        <f>+L48/L55</f>
        <v>#DIV/0!</v>
      </c>
      <c r="N48" s="19"/>
      <c r="O48" s="14" t="e">
        <f>+N48/N55</f>
        <v>#DIV/0!</v>
      </c>
      <c r="P48" s="19">
        <f t="shared" si="8"/>
        <v>0</v>
      </c>
      <c r="Q48" s="14" t="e">
        <f t="shared" si="9"/>
        <v>#DIV/0!</v>
      </c>
    </row>
    <row r="49" spans="11:17" x14ac:dyDescent="0.25">
      <c r="K49" s="17" t="s">
        <v>31</v>
      </c>
      <c r="L49" s="19"/>
      <c r="M49" s="14" t="e">
        <f>+L49/L55</f>
        <v>#DIV/0!</v>
      </c>
      <c r="N49" s="19"/>
      <c r="O49" s="14" t="e">
        <f>+N49/N55</f>
        <v>#DIV/0!</v>
      </c>
      <c r="P49" s="19">
        <f t="shared" si="8"/>
        <v>0</v>
      </c>
      <c r="Q49" s="14" t="e">
        <f t="shared" si="9"/>
        <v>#DIV/0!</v>
      </c>
    </row>
    <row r="50" spans="11:17" x14ac:dyDescent="0.25">
      <c r="K50" s="17" t="s">
        <v>30</v>
      </c>
      <c r="L50" s="19"/>
      <c r="M50" s="14" t="e">
        <f>+L50/L55</f>
        <v>#DIV/0!</v>
      </c>
      <c r="N50" s="19"/>
      <c r="O50" s="14" t="e">
        <f>+N50/N55</f>
        <v>#DIV/0!</v>
      </c>
      <c r="P50" s="19">
        <f t="shared" si="8"/>
        <v>0</v>
      </c>
      <c r="Q50" s="14" t="e">
        <f t="shared" si="9"/>
        <v>#DIV/0!</v>
      </c>
    </row>
    <row r="51" spans="11:17" x14ac:dyDescent="0.25">
      <c r="K51" s="17" t="s">
        <v>29</v>
      </c>
      <c r="L51" s="19"/>
      <c r="M51" s="14" t="e">
        <f>+L51/L55</f>
        <v>#DIV/0!</v>
      </c>
      <c r="N51" s="19"/>
      <c r="O51" s="14" t="e">
        <f>+N51/N55</f>
        <v>#DIV/0!</v>
      </c>
      <c r="P51" s="19">
        <f t="shared" si="8"/>
        <v>0</v>
      </c>
      <c r="Q51" s="14" t="e">
        <f t="shared" si="9"/>
        <v>#DIV/0!</v>
      </c>
    </row>
    <row r="52" spans="11:17" x14ac:dyDescent="0.25">
      <c r="K52" s="17" t="s">
        <v>28</v>
      </c>
      <c r="L52" s="19"/>
      <c r="M52" s="14" t="e">
        <f>+L52/L55</f>
        <v>#DIV/0!</v>
      </c>
      <c r="N52" s="19"/>
      <c r="O52" s="14" t="e">
        <f>+N52/N55</f>
        <v>#DIV/0!</v>
      </c>
      <c r="P52" s="19">
        <f t="shared" si="8"/>
        <v>0</v>
      </c>
      <c r="Q52" s="14" t="e">
        <f t="shared" si="9"/>
        <v>#DIV/0!</v>
      </c>
    </row>
    <row r="53" spans="11:17" x14ac:dyDescent="0.25">
      <c r="K53" s="17" t="s">
        <v>27</v>
      </c>
      <c r="L53" s="19"/>
      <c r="M53" s="14" t="e">
        <f>+L53/L55</f>
        <v>#DIV/0!</v>
      </c>
      <c r="N53" s="19"/>
      <c r="O53" s="14" t="e">
        <f>+N53/N55</f>
        <v>#DIV/0!</v>
      </c>
      <c r="P53" s="19">
        <f t="shared" si="8"/>
        <v>0</v>
      </c>
      <c r="Q53" s="14" t="e">
        <f>+P53/N53</f>
        <v>#DIV/0!</v>
      </c>
    </row>
    <row r="54" spans="11:17" x14ac:dyDescent="0.25">
      <c r="K54" s="17" t="s">
        <v>27</v>
      </c>
      <c r="L54" s="19"/>
      <c r="M54" s="14" t="e">
        <f>+L54/L55</f>
        <v>#DIV/0!</v>
      </c>
      <c r="N54" s="19"/>
      <c r="O54" s="14" t="e">
        <f>+N54/N55</f>
        <v>#DIV/0!</v>
      </c>
      <c r="P54" s="19">
        <f t="shared" si="8"/>
        <v>0</v>
      </c>
      <c r="Q54" s="14" t="e">
        <f>+P54/N54</f>
        <v>#DIV/0!</v>
      </c>
    </row>
    <row r="55" spans="11:17" x14ac:dyDescent="0.25">
      <c r="K55" s="17" t="s">
        <v>21</v>
      </c>
      <c r="L55" s="15">
        <f>SUM(L46:L54)</f>
        <v>0</v>
      </c>
      <c r="M55" s="16" t="e">
        <f>SUM(M46:M54)</f>
        <v>#DIV/0!</v>
      </c>
      <c r="N55" s="15">
        <f>SUM(N46:N54)</f>
        <v>0</v>
      </c>
      <c r="O55" s="16" t="e">
        <f>SUM(O46:O54)</f>
        <v>#DIV/0!</v>
      </c>
      <c r="P55" s="15">
        <f>SUM(P46:P54)</f>
        <v>0</v>
      </c>
      <c r="Q55" s="14" t="e">
        <f>+P55/N55</f>
        <v>#DIV/0!</v>
      </c>
    </row>
  </sheetData>
  <mergeCells count="12">
    <mergeCell ref="K44:K45"/>
    <mergeCell ref="L44:M44"/>
    <mergeCell ref="P44:Q44"/>
    <mergeCell ref="A30:A31"/>
    <mergeCell ref="B30:C30"/>
    <mergeCell ref="F30:G30"/>
    <mergeCell ref="P17:Q17"/>
    <mergeCell ref="A2:A3"/>
    <mergeCell ref="B2:C2"/>
    <mergeCell ref="F2:G2"/>
    <mergeCell ref="K17:K18"/>
    <mergeCell ref="L17:M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ACE38-161F-4E1E-A35C-7C6E6BADC011}">
  <dimension ref="A1:G77"/>
  <sheetViews>
    <sheetView tabSelected="1" topLeftCell="A13" workbookViewId="0">
      <selection activeCell="E24" sqref="E24:E29"/>
    </sheetView>
  </sheetViews>
  <sheetFormatPr baseColWidth="10" defaultRowHeight="15" x14ac:dyDescent="0.25"/>
  <cols>
    <col min="3" max="3" width="38.140625" bestFit="1" customWidth="1"/>
    <col min="4" max="4" width="13.28515625" style="13" bestFit="1" customWidth="1"/>
  </cols>
  <sheetData>
    <row r="1" spans="1:7" x14ac:dyDescent="0.25">
      <c r="A1" s="23"/>
      <c r="C1" s="23"/>
      <c r="D1" s="22"/>
    </row>
    <row r="2" spans="1:7" x14ac:dyDescent="0.25">
      <c r="A2" s="23"/>
      <c r="C2" s="23"/>
      <c r="D2" s="22"/>
    </row>
    <row r="3" spans="1:7" x14ac:dyDescent="0.25">
      <c r="A3" s="23"/>
      <c r="C3" s="23" t="s">
        <v>40</v>
      </c>
      <c r="D3" s="22"/>
    </row>
    <row r="4" spans="1:7" x14ac:dyDescent="0.25">
      <c r="A4" s="23"/>
      <c r="C4" s="23"/>
      <c r="D4" s="22"/>
    </row>
    <row r="5" spans="1:7" x14ac:dyDescent="0.25">
      <c r="A5" s="23"/>
      <c r="C5" s="31" t="s">
        <v>35</v>
      </c>
      <c r="D5" s="30">
        <v>2024</v>
      </c>
      <c r="E5" s="29">
        <v>2023</v>
      </c>
      <c r="F5" s="29" t="s">
        <v>39</v>
      </c>
      <c r="G5" s="29" t="s">
        <v>3</v>
      </c>
    </row>
    <row r="6" spans="1:7" x14ac:dyDescent="0.25">
      <c r="A6" s="23"/>
      <c r="C6" s="27" t="s">
        <v>34</v>
      </c>
      <c r="D6" s="26">
        <v>36805</v>
      </c>
      <c r="E6" s="25">
        <v>33323</v>
      </c>
      <c r="F6" s="25">
        <v>3482</v>
      </c>
      <c r="G6" s="28">
        <v>0.1</v>
      </c>
    </row>
    <row r="7" spans="1:7" x14ac:dyDescent="0.25">
      <c r="A7" s="23"/>
      <c r="C7" s="27" t="s">
        <v>33</v>
      </c>
      <c r="D7" s="26">
        <v>1089</v>
      </c>
      <c r="E7" s="25">
        <v>1039</v>
      </c>
      <c r="F7" s="25">
        <v>50</v>
      </c>
      <c r="G7" s="28">
        <v>0.05</v>
      </c>
    </row>
    <row r="8" spans="1:7" x14ac:dyDescent="0.25">
      <c r="A8" s="23"/>
      <c r="C8" s="27" t="s">
        <v>38</v>
      </c>
      <c r="D8" s="26">
        <v>2712</v>
      </c>
      <c r="E8" s="25">
        <v>0</v>
      </c>
      <c r="F8" s="25">
        <v>2712</v>
      </c>
      <c r="G8" s="25"/>
    </row>
    <row r="9" spans="1:7" x14ac:dyDescent="0.25">
      <c r="A9" s="23"/>
      <c r="C9" s="27" t="s">
        <v>37</v>
      </c>
      <c r="D9" s="26">
        <v>616</v>
      </c>
      <c r="E9" s="25">
        <v>709</v>
      </c>
      <c r="F9" s="25">
        <v>-94</v>
      </c>
      <c r="G9" s="28">
        <v>-0.13</v>
      </c>
    </row>
    <row r="10" spans="1:7" x14ac:dyDescent="0.25">
      <c r="A10" s="23"/>
      <c r="C10" s="27" t="s">
        <v>30</v>
      </c>
      <c r="D10" s="26">
        <v>14957</v>
      </c>
      <c r="E10" s="25">
        <v>14963</v>
      </c>
      <c r="F10" s="25">
        <v>-6</v>
      </c>
      <c r="G10" s="28">
        <v>0</v>
      </c>
    </row>
    <row r="11" spans="1:7" x14ac:dyDescent="0.25">
      <c r="A11" s="23"/>
      <c r="C11" s="27" t="s">
        <v>29</v>
      </c>
      <c r="D11" s="26">
        <v>12</v>
      </c>
      <c r="E11" s="25">
        <v>21</v>
      </c>
      <c r="F11" s="25">
        <v>-9</v>
      </c>
      <c r="G11" s="28">
        <v>-0.41</v>
      </c>
    </row>
    <row r="12" spans="1:7" x14ac:dyDescent="0.25">
      <c r="A12" s="23"/>
      <c r="C12" s="27" t="s">
        <v>36</v>
      </c>
      <c r="D12" s="26">
        <f>SUM(D6:D11)</f>
        <v>56191</v>
      </c>
      <c r="E12" s="25">
        <f>SUM(E6:E11)</f>
        <v>50055</v>
      </c>
      <c r="F12" s="25">
        <f>SUM(F6:F11)</f>
        <v>6135</v>
      </c>
      <c r="G12" s="24">
        <f>SUM(G6:G11)</f>
        <v>-0.38999999999999996</v>
      </c>
    </row>
    <row r="13" spans="1:7" x14ac:dyDescent="0.25">
      <c r="A13" s="23"/>
      <c r="C13" s="23"/>
      <c r="D13" s="22"/>
    </row>
    <row r="14" spans="1:7" x14ac:dyDescent="0.25">
      <c r="A14" s="23"/>
      <c r="C14" s="31" t="s">
        <v>35</v>
      </c>
      <c r="D14" s="30">
        <v>2025</v>
      </c>
      <c r="E14" s="29">
        <v>2024</v>
      </c>
      <c r="F14" s="29" t="s">
        <v>39</v>
      </c>
      <c r="G14" s="29" t="s">
        <v>3</v>
      </c>
    </row>
    <row r="15" spans="1:7" x14ac:dyDescent="0.25">
      <c r="A15" s="23"/>
      <c r="C15" s="27" t="s">
        <v>34</v>
      </c>
      <c r="D15" s="26">
        <v>49108.932000000743</v>
      </c>
      <c r="E15" s="25">
        <v>36805</v>
      </c>
      <c r="F15" s="34">
        <f>+D15-E15</f>
        <v>12303.932000000743</v>
      </c>
      <c r="G15" s="28">
        <f>+D15/E15-1</f>
        <v>0.33430055698955963</v>
      </c>
    </row>
    <row r="16" spans="1:7" x14ac:dyDescent="0.25">
      <c r="A16" s="23"/>
      <c r="C16" s="27" t="s">
        <v>33</v>
      </c>
      <c r="D16" s="26">
        <v>1077.7577999997579</v>
      </c>
      <c r="E16" s="25">
        <v>1089</v>
      </c>
      <c r="F16" s="34">
        <f t="shared" ref="F16:F20" si="0">+D16-E16</f>
        <v>-11.242200000242065</v>
      </c>
      <c r="G16" s="28">
        <f t="shared" ref="G16:G20" si="1">+D16/E16-1</f>
        <v>-1.0323415978183759E-2</v>
      </c>
    </row>
    <row r="17" spans="1:7" x14ac:dyDescent="0.25">
      <c r="A17" s="23"/>
      <c r="C17" s="27" t="s">
        <v>38</v>
      </c>
      <c r="D17" s="26">
        <v>4154.1499999999996</v>
      </c>
      <c r="E17" s="25">
        <v>2712</v>
      </c>
      <c r="F17" s="34">
        <f t="shared" si="0"/>
        <v>1442.1499999999996</v>
      </c>
      <c r="G17" s="25">
        <f t="shared" si="1"/>
        <v>0.53176622418879038</v>
      </c>
    </row>
    <row r="18" spans="1:7" x14ac:dyDescent="0.25">
      <c r="A18" s="23"/>
      <c r="C18" s="27" t="s">
        <v>37</v>
      </c>
      <c r="D18" s="26">
        <v>772.81999999990785</v>
      </c>
      <c r="E18" s="25">
        <v>616</v>
      </c>
      <c r="F18" s="34">
        <f t="shared" si="0"/>
        <v>156.81999999990785</v>
      </c>
      <c r="G18" s="28">
        <f t="shared" si="1"/>
        <v>0.25457792207777241</v>
      </c>
    </row>
    <row r="19" spans="1:7" x14ac:dyDescent="0.25">
      <c r="A19" s="23"/>
      <c r="C19" s="27" t="s">
        <v>30</v>
      </c>
      <c r="D19" s="26">
        <v>18974.68799999663</v>
      </c>
      <c r="E19" s="25">
        <v>14957</v>
      </c>
      <c r="F19" s="34">
        <f t="shared" si="0"/>
        <v>4017.6879999966295</v>
      </c>
      <c r="G19" s="28">
        <f t="shared" si="1"/>
        <v>0.26861589890998383</v>
      </c>
    </row>
    <row r="20" spans="1:7" x14ac:dyDescent="0.25">
      <c r="A20" s="23"/>
      <c r="C20" s="27" t="s">
        <v>29</v>
      </c>
      <c r="D20" s="26">
        <v>127.18000000000218</v>
      </c>
      <c r="E20" s="25">
        <v>12</v>
      </c>
      <c r="F20" s="34">
        <f t="shared" si="0"/>
        <v>115.18000000000218</v>
      </c>
      <c r="G20" s="28">
        <f t="shared" si="1"/>
        <v>9.5983333333335157</v>
      </c>
    </row>
    <row r="21" spans="1:7" x14ac:dyDescent="0.25">
      <c r="A21" s="23"/>
      <c r="C21" s="27" t="s">
        <v>36</v>
      </c>
      <c r="D21" s="26">
        <f>SUM(D15:D20)</f>
        <v>74215.527799997042</v>
      </c>
      <c r="E21" s="26">
        <f>SUM(E15:E20)</f>
        <v>56191</v>
      </c>
      <c r="F21" s="35">
        <f>SUM(F15:F20)</f>
        <v>18024.527799997042</v>
      </c>
      <c r="G21" s="24">
        <f>+D21/E21-1</f>
        <v>0.32077250449354944</v>
      </c>
    </row>
    <row r="22" spans="1:7" x14ac:dyDescent="0.25">
      <c r="A22" s="23"/>
      <c r="C22" s="23"/>
      <c r="D22" s="22"/>
    </row>
    <row r="23" spans="1:7" x14ac:dyDescent="0.25">
      <c r="A23" s="23"/>
      <c r="C23" s="31" t="s">
        <v>35</v>
      </c>
      <c r="D23" s="30">
        <v>2026</v>
      </c>
      <c r="E23" s="29">
        <v>2025</v>
      </c>
      <c r="F23" s="29" t="s">
        <v>39</v>
      </c>
      <c r="G23" s="29" t="s">
        <v>3</v>
      </c>
    </row>
    <row r="24" spans="1:7" x14ac:dyDescent="0.25">
      <c r="A24" s="23"/>
      <c r="C24" s="27" t="s">
        <v>34</v>
      </c>
      <c r="D24" s="26"/>
      <c r="E24" s="25"/>
      <c r="F24" s="34">
        <f>+D24-E24</f>
        <v>0</v>
      </c>
      <c r="G24" s="28" t="e">
        <f>+D24/E24-1</f>
        <v>#DIV/0!</v>
      </c>
    </row>
    <row r="25" spans="1:7" x14ac:dyDescent="0.25">
      <c r="A25" s="23"/>
      <c r="C25" s="27" t="s">
        <v>33</v>
      </c>
      <c r="D25" s="26"/>
      <c r="E25" s="25"/>
      <c r="F25" s="34">
        <f t="shared" ref="F25:F29" si="2">+D25-E25</f>
        <v>0</v>
      </c>
      <c r="G25" s="28" t="e">
        <f t="shared" ref="G25:G29" si="3">+D25/E25-1</f>
        <v>#DIV/0!</v>
      </c>
    </row>
    <row r="26" spans="1:7" x14ac:dyDescent="0.25">
      <c r="A26" s="23"/>
      <c r="C26" s="27" t="s">
        <v>38</v>
      </c>
      <c r="D26" s="26"/>
      <c r="E26" s="25"/>
      <c r="F26" s="34">
        <f t="shared" si="2"/>
        <v>0</v>
      </c>
      <c r="G26" s="25" t="e">
        <f t="shared" si="3"/>
        <v>#DIV/0!</v>
      </c>
    </row>
    <row r="27" spans="1:7" x14ac:dyDescent="0.25">
      <c r="A27" s="23"/>
      <c r="C27" s="27" t="s">
        <v>37</v>
      </c>
      <c r="D27" s="26"/>
      <c r="E27" s="25"/>
      <c r="F27" s="34">
        <f t="shared" si="2"/>
        <v>0</v>
      </c>
      <c r="G27" s="28" t="e">
        <f t="shared" si="3"/>
        <v>#DIV/0!</v>
      </c>
    </row>
    <row r="28" spans="1:7" x14ac:dyDescent="0.25">
      <c r="A28" s="23"/>
      <c r="C28" s="27" t="s">
        <v>30</v>
      </c>
      <c r="D28" s="26"/>
      <c r="E28" s="25"/>
      <c r="F28" s="34">
        <f t="shared" si="2"/>
        <v>0</v>
      </c>
      <c r="G28" s="28" t="e">
        <f t="shared" si="3"/>
        <v>#DIV/0!</v>
      </c>
    </row>
    <row r="29" spans="1:7" x14ac:dyDescent="0.25">
      <c r="A29" s="23"/>
      <c r="C29" s="27" t="s">
        <v>29</v>
      </c>
      <c r="D29" s="26"/>
      <c r="E29" s="25"/>
      <c r="F29" s="34">
        <f t="shared" si="2"/>
        <v>0</v>
      </c>
      <c r="G29" s="28" t="e">
        <f t="shared" si="3"/>
        <v>#DIV/0!</v>
      </c>
    </row>
    <row r="30" spans="1:7" x14ac:dyDescent="0.25">
      <c r="A30" s="23"/>
      <c r="C30" s="27" t="s">
        <v>36</v>
      </c>
      <c r="D30" s="26">
        <f>SUM(D24:D29)</f>
        <v>0</v>
      </c>
      <c r="E30" s="26">
        <f>SUM(E24:E29)</f>
        <v>0</v>
      </c>
      <c r="F30" s="35">
        <f>SUM(F24:F29)</f>
        <v>0</v>
      </c>
      <c r="G30" s="24" t="e">
        <f>+D30/E30-1</f>
        <v>#DIV/0!</v>
      </c>
    </row>
    <row r="31" spans="1:7" x14ac:dyDescent="0.25">
      <c r="A31" s="23"/>
      <c r="C31" s="23"/>
      <c r="D31" s="22"/>
    </row>
    <row r="32" spans="1:7" x14ac:dyDescent="0.25">
      <c r="A32" s="23"/>
      <c r="C32" s="23"/>
      <c r="D32" s="22"/>
    </row>
    <row r="33" spans="1:4" x14ac:dyDescent="0.25">
      <c r="A33" s="23"/>
      <c r="C33" s="23"/>
      <c r="D33" s="22"/>
    </row>
    <row r="34" spans="1:4" x14ac:dyDescent="0.25">
      <c r="A34" s="23"/>
      <c r="C34" s="23"/>
      <c r="D34" s="22"/>
    </row>
    <row r="35" spans="1:4" x14ac:dyDescent="0.25">
      <c r="A35" s="23"/>
      <c r="C35" s="23"/>
      <c r="D35" s="22"/>
    </row>
    <row r="36" spans="1:4" x14ac:dyDescent="0.25">
      <c r="A36" s="23"/>
      <c r="C36" s="23"/>
      <c r="D36" s="22"/>
    </row>
    <row r="37" spans="1:4" x14ac:dyDescent="0.25">
      <c r="A37" s="23"/>
      <c r="C37" s="23"/>
      <c r="D37" s="22"/>
    </row>
    <row r="38" spans="1:4" x14ac:dyDescent="0.25">
      <c r="A38" s="23"/>
      <c r="C38" s="23"/>
      <c r="D38" s="22"/>
    </row>
    <row r="39" spans="1:4" x14ac:dyDescent="0.25">
      <c r="A39" s="23"/>
      <c r="C39" s="23"/>
      <c r="D39" s="22"/>
    </row>
    <row r="40" spans="1:4" x14ac:dyDescent="0.25">
      <c r="A40" s="23"/>
      <c r="C40" s="23"/>
      <c r="D40" s="22"/>
    </row>
    <row r="41" spans="1:4" x14ac:dyDescent="0.25">
      <c r="A41" s="23"/>
      <c r="C41" s="23"/>
      <c r="D41" s="22"/>
    </row>
    <row r="43" spans="1:4" x14ac:dyDescent="0.25">
      <c r="A43" s="23"/>
      <c r="C43" s="23"/>
      <c r="D43" s="22"/>
    </row>
    <row r="44" spans="1:4" x14ac:dyDescent="0.25">
      <c r="A44" s="23"/>
      <c r="C44" s="23"/>
      <c r="D44" s="22"/>
    </row>
    <row r="45" spans="1:4" x14ac:dyDescent="0.25">
      <c r="A45" s="23"/>
      <c r="C45" s="23"/>
      <c r="D45" s="22"/>
    </row>
    <row r="46" spans="1:4" x14ac:dyDescent="0.25">
      <c r="A46" s="23"/>
      <c r="C46" s="23"/>
      <c r="D46" s="22"/>
    </row>
    <row r="47" spans="1:4" x14ac:dyDescent="0.25">
      <c r="A47" s="23"/>
      <c r="C47" s="23"/>
      <c r="D47" s="22"/>
    </row>
    <row r="48" spans="1:4" x14ac:dyDescent="0.25">
      <c r="A48" s="23"/>
      <c r="C48" s="23"/>
      <c r="D48" s="22"/>
    </row>
    <row r="50" spans="1:4" x14ac:dyDescent="0.25">
      <c r="A50" s="23"/>
      <c r="C50" s="23"/>
      <c r="D50" s="22"/>
    </row>
    <row r="52" spans="1:4" x14ac:dyDescent="0.25">
      <c r="A52" s="23"/>
      <c r="C52" s="23"/>
      <c r="D52" s="22"/>
    </row>
    <row r="53" spans="1:4" x14ac:dyDescent="0.25">
      <c r="A53" s="23"/>
      <c r="C53" s="23"/>
      <c r="D53" s="22"/>
    </row>
    <row r="54" spans="1:4" x14ac:dyDescent="0.25">
      <c r="A54" s="23"/>
      <c r="C54" s="23"/>
      <c r="D54" s="22"/>
    </row>
    <row r="55" spans="1:4" x14ac:dyDescent="0.25">
      <c r="A55" s="23"/>
      <c r="C55" s="23"/>
      <c r="D55" s="22"/>
    </row>
    <row r="56" spans="1:4" x14ac:dyDescent="0.25">
      <c r="A56" s="23"/>
      <c r="C56" s="23"/>
      <c r="D56" s="22"/>
    </row>
    <row r="57" spans="1:4" x14ac:dyDescent="0.25">
      <c r="A57" s="23"/>
      <c r="C57" s="23"/>
      <c r="D57" s="22"/>
    </row>
    <row r="59" spans="1:4" x14ac:dyDescent="0.25">
      <c r="A59" s="23"/>
      <c r="C59" s="23"/>
      <c r="D59" s="22"/>
    </row>
    <row r="60" spans="1:4" x14ac:dyDescent="0.25">
      <c r="A60" s="23"/>
      <c r="C60" s="23"/>
      <c r="D60" s="22"/>
    </row>
    <row r="62" spans="1:4" x14ac:dyDescent="0.25">
      <c r="A62" s="23"/>
      <c r="C62" s="23"/>
      <c r="D62" s="22"/>
    </row>
    <row r="64" spans="1:4" x14ac:dyDescent="0.25">
      <c r="A64" s="23"/>
      <c r="C64" s="23"/>
      <c r="D64" s="22"/>
    </row>
    <row r="65" spans="1:4" x14ac:dyDescent="0.25">
      <c r="A65" s="23"/>
      <c r="C65" s="23"/>
      <c r="D65" s="22"/>
    </row>
    <row r="67" spans="1:4" x14ac:dyDescent="0.25">
      <c r="A67" s="23"/>
      <c r="C67" s="23"/>
      <c r="D67" s="22"/>
    </row>
    <row r="68" spans="1:4" x14ac:dyDescent="0.25">
      <c r="A68" s="23"/>
      <c r="C68" s="23"/>
      <c r="D68" s="22"/>
    </row>
    <row r="69" spans="1:4" x14ac:dyDescent="0.25">
      <c r="A69" s="23"/>
      <c r="C69" s="23"/>
      <c r="D69" s="22"/>
    </row>
    <row r="71" spans="1:4" x14ac:dyDescent="0.25">
      <c r="A71" s="23"/>
      <c r="C71" s="23"/>
      <c r="D71" s="22"/>
    </row>
    <row r="73" spans="1:4" x14ac:dyDescent="0.25">
      <c r="D73" s="21"/>
    </row>
    <row r="75" spans="1:4" x14ac:dyDescent="0.25">
      <c r="D75" s="20"/>
    </row>
    <row r="77" spans="1:4" x14ac:dyDescent="0.25">
      <c r="D77" s="20"/>
    </row>
  </sheetData>
  <pageMargins left="0.7" right="0.7" top="0.75" bottom="0.75" header="0.3" footer="0.3"/>
  <colBreaks count="1" manualBreakCount="1">
    <brk id="3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CAHT par agence A</vt:lpstr>
      <vt:lpstr>Ventes par produits A</vt:lpstr>
      <vt:lpstr>Vente en volume 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AURELIEN</dc:creator>
  <cp:lastModifiedBy>MOUTEN</cp:lastModifiedBy>
  <dcterms:created xsi:type="dcterms:W3CDTF">2026-03-04T09:22:55Z</dcterms:created>
  <dcterms:modified xsi:type="dcterms:W3CDTF">2026-07-08T11:19:28Z</dcterms:modified>
</cp:coreProperties>
</file>