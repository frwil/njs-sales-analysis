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HT par agence A" sheetId="1" state="visible" r:id="rId1"/>
    <sheet name="Ventes par produits A" sheetId="2" state="visible" r:id="rId2"/>
    <sheet name="Vente en volume 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aiandra GD"/>
      <family val="2"/>
      <b val="1"/>
      <color theme="1"/>
      <sz val="11"/>
    </font>
    <font>
      <name val="Maiandra GD"/>
      <family val="2"/>
      <color theme="1"/>
      <sz val="11"/>
    </font>
    <font>
      <name val="Maiandra GD"/>
      <family val="2"/>
      <sz val="11"/>
    </font>
    <font>
      <name val="Maiandra GD"/>
      <family val="2"/>
      <b val="1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56">
    <xf numFmtId="0" fontId="0" fillId="0" borderId="0" pivotButton="0" quotePrefix="0" xfId="0"/>
    <xf numFmtId="14" fontId="2" fillId="0" borderId="3" applyAlignment="1" pivotButton="0" quotePrefix="0" xfId="0">
      <alignment horizontal="center"/>
    </xf>
    <xf numFmtId="14" fontId="2" fillId="0" borderId="4" pivotButton="0" quotePrefix="0" xfId="0"/>
    <xf numFmtId="14" fontId="2" fillId="0" borderId="2" pivotButton="0" quotePrefix="0" xfId="0"/>
    <xf numFmtId="0" fontId="3" fillId="0" borderId="0" pivotButton="0" quotePrefix="0" xfId="0"/>
    <xf numFmtId="10" fontId="2" fillId="0" borderId="4" pivotButton="0" quotePrefix="0" xfId="0"/>
    <xf numFmtId="0" fontId="2" fillId="0" borderId="4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3" fillId="0" borderId="4" pivotButton="0" quotePrefix="0" xfId="0"/>
    <xf numFmtId="3" fontId="3" fillId="0" borderId="4" pivotButton="0" quotePrefix="0" xfId="0"/>
    <xf numFmtId="10" fontId="3" fillId="0" borderId="4" pivotButton="0" quotePrefix="0" xfId="0"/>
    <xf numFmtId="3" fontId="2" fillId="0" borderId="4" pivotButton="0" quotePrefix="0" xfId="0"/>
    <xf numFmtId="10" fontId="3" fillId="0" borderId="0" pivotButton="0" quotePrefix="0" xfId="0"/>
    <xf numFmtId="3" fontId="0" fillId="0" borderId="0" pivotButton="0" quotePrefix="0" xfId="0"/>
    <xf numFmtId="10" fontId="4" fillId="0" borderId="4" pivotButton="0" quotePrefix="0" xfId="0"/>
    <xf numFmtId="3" fontId="5" fillId="0" borderId="4" pivotButton="0" quotePrefix="0" xfId="0"/>
    <xf numFmtId="10" fontId="5" fillId="0" borderId="4" pivotButton="0" quotePrefix="0" xfId="0"/>
    <xf numFmtId="0" fontId="4" fillId="0" borderId="4" pivotButton="0" quotePrefix="0" xfId="0"/>
    <xf numFmtId="9" fontId="0" fillId="0" borderId="0" pivotButton="0" quotePrefix="0" xfId="1"/>
    <xf numFmtId="3" fontId="4" fillId="0" borderId="4" pivotButton="0" quotePrefix="0" xfId="0"/>
    <xf numFmtId="3" fontId="6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49" fontId="7" fillId="0" borderId="0" pivotButton="0" quotePrefix="0" xfId="0"/>
    <xf numFmtId="10" fontId="0" fillId="0" borderId="4" pivotButton="0" quotePrefix="0" xfId="0"/>
    <xf numFmtId="0" fontId="0" fillId="0" borderId="4" pivotButton="0" quotePrefix="0" xfId="0"/>
    <xf numFmtId="3" fontId="7" fillId="0" borderId="4" applyAlignment="1" pivotButton="0" quotePrefix="0" xfId="0">
      <alignment horizontal="right"/>
    </xf>
    <xf numFmtId="49" fontId="7" fillId="0" borderId="4" pivotButton="0" quotePrefix="0" xfId="0"/>
    <xf numFmtId="9" fontId="0" fillId="0" borderId="4" pivotButton="0" quotePrefix="0" xfId="0"/>
    <xf numFmtId="0" fontId="8" fillId="0" borderId="4" pivotButton="0" quotePrefix="0" xfId="0"/>
    <xf numFmtId="3" fontId="6" fillId="0" borderId="4" applyAlignment="1" pivotButton="0" quotePrefix="0" xfId="0">
      <alignment horizontal="right"/>
    </xf>
    <xf numFmtId="49" fontId="6" fillId="0" borderId="4" pivotButton="0" quotePrefix="0" xfId="0"/>
    <xf numFmtId="14" fontId="2" fillId="0" borderId="3" applyAlignment="1" pivotButton="0" quotePrefix="0" xfId="0">
      <alignment horizontal="center"/>
    </xf>
    <xf numFmtId="3" fontId="3" fillId="0" borderId="0" pivotButton="0" quotePrefix="0" xfId="0"/>
    <xf numFmtId="3" fontId="0" fillId="0" borderId="4" pivotButton="0" quotePrefix="0" xfId="0"/>
    <xf numFmtId="164" fontId="0" fillId="0" borderId="4" pivotButton="0" quotePrefix="0" xfId="0"/>
    <xf numFmtId="3" fontId="3" fillId="0" borderId="1" applyAlignment="1" pivotButton="0" quotePrefix="0" xfId="0">
      <alignment horizontal="center"/>
    </xf>
    <xf numFmtId="3" fontId="3" fillId="0" borderId="6" applyAlignment="1" pivotButton="0" quotePrefix="0" xfId="0">
      <alignment horizontal="center"/>
    </xf>
    <xf numFmtId="3" fontId="3" fillId="0" borderId="5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0" fontId="3" fillId="0" borderId="6" applyAlignment="1" pivotButton="0" quotePrefix="0" xfId="0">
      <alignment horizontal="center"/>
    </xf>
    <xf numFmtId="10" fontId="3" fillId="0" borderId="5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4" fontId="2" fillId="0" borderId="2" applyAlignment="1" pivotButton="0" quotePrefix="0" xfId="0">
      <alignment horizontal="center"/>
    </xf>
    <xf numFmtId="14" fontId="2" fillId="0" borderId="3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14" fontId="2" fillId="0" borderId="5" applyAlignment="1" pivotButton="0" quotePrefix="0" xfId="0">
      <alignment horizontal="center"/>
    </xf>
    <xf numFmtId="14" fontId="2" fillId="0" borderId="4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3" fontId="3" fillId="0" borderId="4" applyAlignment="1" pivotButton="0" quotePrefix="0" xfId="0">
      <alignment horizontal="center"/>
    </xf>
    <xf numFmtId="0" fontId="0" fillId="0" borderId="6" pivotButton="0" quotePrefix="0" xfId="0"/>
    <xf numFmtId="10" fontId="3" fillId="0" borderId="4" applyAlignment="1" pivotButton="0" quotePrefix="0" xfId="0">
      <alignment horizontal="center"/>
    </xf>
  </cellXfs>
  <cellStyles count="2">
    <cellStyle name="Normal" xfId="0" builtinId="0"/>
    <cellStyle name="Pourcentag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N160"/>
  <sheetViews>
    <sheetView tabSelected="1" topLeftCell="B112" workbookViewId="0">
      <selection activeCell="D131" sqref="D131"/>
    </sheetView>
  </sheetViews>
  <sheetFormatPr baseColWidth="10" defaultRowHeight="15"/>
  <cols>
    <col width="25.85546875" bestFit="1" customWidth="1" style="4" min="1" max="1"/>
    <col width="19.28515625" bestFit="1" customWidth="1" style="4" min="2" max="2"/>
    <col width="12.28515625" customWidth="1" style="12" min="3" max="3"/>
    <col width="19.28515625" bestFit="1" customWidth="1" style="4" min="4" max="4"/>
    <col width="11.140625" customWidth="1" style="4" min="5" max="5"/>
    <col width="23.140625" customWidth="1" style="4" min="6" max="6"/>
    <col width="11.42578125" customWidth="1" style="4" min="7" max="9"/>
    <col width="25.85546875" bestFit="1" customWidth="1" style="4" min="10" max="10"/>
    <col width="20.28515625" customWidth="1" style="4" min="11" max="11"/>
    <col width="33" customWidth="1" style="4" min="12" max="12"/>
    <col width="19.28515625" customWidth="1" style="4" min="13" max="13"/>
    <col width="11.42578125" customWidth="1" style="4" min="14" max="16384"/>
  </cols>
  <sheetData>
    <row r="1"/>
    <row r="2">
      <c r="A2" s="6" t="inlineStr">
        <is>
          <t>AGENCES</t>
        </is>
      </c>
      <c r="B2" s="50" t="n">
        <v>45291</v>
      </c>
      <c r="C2" s="51" t="n"/>
      <c r="D2" s="2" t="n">
        <v>44926</v>
      </c>
      <c r="E2" s="3" t="n"/>
      <c r="F2" s="6" t="inlineStr">
        <is>
          <t>Variation</t>
        </is>
      </c>
      <c r="G2" s="51" t="n"/>
    </row>
    <row r="3">
      <c r="A3" s="52" t="n"/>
      <c r="B3" s="47" t="inlineStr">
        <is>
          <t>En FCFA</t>
        </is>
      </c>
      <c r="C3" s="5" t="inlineStr">
        <is>
          <t>%</t>
        </is>
      </c>
      <c r="D3" s="47" t="inlineStr">
        <is>
          <t>En FCFA</t>
        </is>
      </c>
      <c r="E3" s="5" t="inlineStr">
        <is>
          <t>%</t>
        </is>
      </c>
      <c r="F3" s="6" t="inlineStr">
        <is>
          <t>En Valeur</t>
        </is>
      </c>
      <c r="G3" s="7" t="inlineStr">
        <is>
          <t>En %</t>
        </is>
      </c>
    </row>
    <row r="4">
      <c r="A4" s="8" t="inlineStr">
        <is>
          <t>YAOUNDE-MESSASI</t>
        </is>
      </c>
      <c r="B4" s="9">
        <f>3366370000</f>
        <v/>
      </c>
      <c r="C4" s="10">
        <f>+B4/B19</f>
        <v/>
      </c>
      <c r="D4" s="9" t="n">
        <v>3598408958</v>
      </c>
      <c r="E4" s="10">
        <f>+D4/D19</f>
        <v/>
      </c>
      <c r="F4" s="9">
        <f>+B4-D4</f>
        <v/>
      </c>
      <c r="G4" s="10">
        <f>+F4/D4</f>
        <v/>
      </c>
    </row>
    <row r="5">
      <c r="A5" s="8" t="inlineStr">
        <is>
          <t>YAOUNDE-AHALA</t>
        </is>
      </c>
      <c r="B5" s="9" t="n">
        <v>1546070774</v>
      </c>
      <c r="C5" s="10">
        <f>+B5/B19</f>
        <v/>
      </c>
      <c r="D5" s="9" t="n">
        <v>1516561445</v>
      </c>
      <c r="E5" s="10">
        <f>+D5/D19</f>
        <v/>
      </c>
      <c r="F5" s="9">
        <f>+B5-D5</f>
        <v/>
      </c>
      <c r="G5" s="10">
        <f>+F5/D5</f>
        <v/>
      </c>
    </row>
    <row r="6">
      <c r="A6" s="8" t="inlineStr">
        <is>
          <t>YAOUNDE-NKOABANG</t>
        </is>
      </c>
      <c r="B6" s="9" t="n">
        <v>772591875</v>
      </c>
      <c r="C6" s="10">
        <f>+B6/B19</f>
        <v/>
      </c>
      <c r="D6" s="9" t="n">
        <v>862109204</v>
      </c>
      <c r="E6" s="10">
        <f>+D6/D19</f>
        <v/>
      </c>
      <c r="F6" s="9">
        <f>+B6-D6</f>
        <v/>
      </c>
      <c r="G6" s="10">
        <f>+F6/D6</f>
        <v/>
      </c>
    </row>
    <row r="7">
      <c r="A7" s="8" t="inlineStr">
        <is>
          <t>YAOUNDE-NKOLBISSON</t>
        </is>
      </c>
      <c r="B7" s="9" t="n">
        <v>863422230</v>
      </c>
      <c r="C7" s="10">
        <f>+B7/B19</f>
        <v/>
      </c>
      <c r="D7" s="9" t="n">
        <v>864150290</v>
      </c>
      <c r="E7" s="10">
        <f>+D7/D19</f>
        <v/>
      </c>
      <c r="F7" s="9">
        <f>+B7-D7</f>
        <v/>
      </c>
      <c r="G7" s="10">
        <f>+F7/D7</f>
        <v/>
      </c>
    </row>
    <row r="8">
      <c r="A8" s="8" t="inlineStr">
        <is>
          <t>BERTOUA</t>
        </is>
      </c>
      <c r="B8" s="9" t="n">
        <v>1506653625</v>
      </c>
      <c r="C8" s="10">
        <f>+B8/B19</f>
        <v/>
      </c>
      <c r="D8" s="9" t="n">
        <v>1513826790</v>
      </c>
      <c r="E8" s="10">
        <f>+D8/D19</f>
        <v/>
      </c>
      <c r="F8" s="9">
        <f>+B8-D8</f>
        <v/>
      </c>
      <c r="G8" s="10">
        <f>+F8/D8</f>
        <v/>
      </c>
    </row>
    <row r="9">
      <c r="A9" s="8" t="inlineStr">
        <is>
          <t>NGAOUNDERE</t>
        </is>
      </c>
      <c r="B9" s="9" t="n">
        <v>789815215</v>
      </c>
      <c r="C9" s="10">
        <f>+B9/B19</f>
        <v/>
      </c>
      <c r="D9" s="9" t="n">
        <v>793196237</v>
      </c>
      <c r="E9" s="10">
        <f>+D9/D19</f>
        <v/>
      </c>
      <c r="F9" s="9">
        <f>+B9-D9</f>
        <v/>
      </c>
      <c r="G9" s="10">
        <f>+F9/D9</f>
        <v/>
      </c>
    </row>
    <row r="10">
      <c r="A10" s="8" t="inlineStr">
        <is>
          <t>BAFOUSSAM-FAMLA</t>
        </is>
      </c>
      <c r="B10" s="9" t="n">
        <v>7964120775</v>
      </c>
      <c r="C10" s="10">
        <f>+B10/B19</f>
        <v/>
      </c>
      <c r="D10" s="9" t="n">
        <v>7911066214</v>
      </c>
      <c r="E10" s="10">
        <f>+D10/D19</f>
        <v/>
      </c>
      <c r="F10" s="9">
        <f>+B10-D10</f>
        <v/>
      </c>
      <c r="G10" s="10">
        <f>+F10/D10</f>
        <v/>
      </c>
    </row>
    <row r="11">
      <c r="A11" s="8" t="inlineStr">
        <is>
          <t>BAFOUSSAM-DJELENG</t>
        </is>
      </c>
      <c r="B11" s="9" t="n">
        <v>1993522325</v>
      </c>
      <c r="C11" s="10">
        <f>+B11/B19</f>
        <v/>
      </c>
      <c r="D11" s="9" t="n">
        <v>1980258696</v>
      </c>
      <c r="E11" s="10">
        <f>+D11/D19</f>
        <v/>
      </c>
      <c r="F11" s="9">
        <f>+B11-D11</f>
        <v/>
      </c>
      <c r="G11" s="10">
        <f>+F11/D11</f>
        <v/>
      </c>
    </row>
    <row r="12">
      <c r="A12" s="8" t="inlineStr">
        <is>
          <t>BAMENDA</t>
        </is>
      </c>
      <c r="B12" s="9" t="n">
        <v>557299290</v>
      </c>
      <c r="C12" s="10">
        <f>+B12/B19</f>
        <v/>
      </c>
      <c r="D12" s="9" t="n">
        <v>971656258</v>
      </c>
      <c r="E12" s="10">
        <f>+D12/D19</f>
        <v/>
      </c>
      <c r="F12" s="9">
        <f>+B12-D12</f>
        <v/>
      </c>
      <c r="G12" s="10">
        <f>+F12/D12</f>
        <v/>
      </c>
    </row>
    <row r="13">
      <c r="A13" s="8" t="inlineStr">
        <is>
          <t>NKONGSAMBA</t>
        </is>
      </c>
      <c r="B13" s="9" t="n">
        <v>1091882440</v>
      </c>
      <c r="C13" s="10">
        <f>+B13/B19</f>
        <v/>
      </c>
      <c r="D13" s="9" t="n">
        <v>1050670488</v>
      </c>
      <c r="E13" s="10">
        <f>+D13/D19</f>
        <v/>
      </c>
      <c r="F13" s="9">
        <f>+B13-D13</f>
        <v/>
      </c>
      <c r="G13" s="10">
        <f>+F13/D13</f>
        <v/>
      </c>
    </row>
    <row r="14">
      <c r="A14" s="8" t="inlineStr">
        <is>
          <t>BUEA</t>
        </is>
      </c>
      <c r="B14" s="9" t="n">
        <v>1277335515</v>
      </c>
      <c r="C14" s="10">
        <f>+B14/B19</f>
        <v/>
      </c>
      <c r="D14" s="9" t="n">
        <v>1077927134</v>
      </c>
      <c r="E14" s="10">
        <f>+D14/D19</f>
        <v/>
      </c>
      <c r="F14" s="9">
        <f>+B14-D14</f>
        <v/>
      </c>
      <c r="G14" s="10">
        <f>+F14/D14</f>
        <v/>
      </c>
    </row>
    <row r="15">
      <c r="A15" s="8" t="inlineStr">
        <is>
          <t>DOUALA-AXE LOURD</t>
        </is>
      </c>
      <c r="B15" s="9" t="n">
        <v>1846475970</v>
      </c>
      <c r="C15" s="10">
        <f>+B15/B19</f>
        <v/>
      </c>
      <c r="D15" s="9" t="n">
        <v>1455433676</v>
      </c>
      <c r="E15" s="10">
        <f>+D15/D19</f>
        <v/>
      </c>
      <c r="F15" s="9">
        <f>+B15-D15</f>
        <v/>
      </c>
      <c r="G15" s="10">
        <f>+F15/D15</f>
        <v/>
      </c>
    </row>
    <row r="16">
      <c r="A16" s="8" t="inlineStr">
        <is>
          <t>DOUALA-SIEGE</t>
        </is>
      </c>
      <c r="B16" s="9">
        <f>4575986650-6386967</f>
        <v/>
      </c>
      <c r="C16" s="10">
        <f>+B16/B19</f>
        <v/>
      </c>
      <c r="D16" s="9" t="n">
        <v>4961272346</v>
      </c>
      <c r="E16" s="10">
        <f>+D16/D19</f>
        <v/>
      </c>
      <c r="F16" s="9">
        <f>+B16-D16</f>
        <v/>
      </c>
      <c r="G16" s="10">
        <f>+F16/D16</f>
        <v/>
      </c>
    </row>
    <row r="17">
      <c r="A17" s="8" t="inlineStr">
        <is>
          <t>DOUALA-PK11</t>
        </is>
      </c>
      <c r="B17" s="9" t="n">
        <v>881514055</v>
      </c>
      <c r="C17" s="10">
        <f>+B17/B19</f>
        <v/>
      </c>
      <c r="D17" s="9" t="n">
        <v>836340991</v>
      </c>
      <c r="E17" s="10">
        <f>+D17/D19</f>
        <v/>
      </c>
      <c r="F17" s="9">
        <f>+B17-D17</f>
        <v/>
      </c>
      <c r="G17" s="10">
        <f>+F17/D17</f>
        <v/>
      </c>
    </row>
    <row r="18">
      <c r="A18" s="8" t="inlineStr">
        <is>
          <t>SPC</t>
        </is>
      </c>
      <c r="B18" s="9" t="n">
        <v>0</v>
      </c>
      <c r="C18" s="10" t="n"/>
      <c r="D18" s="9" t="n">
        <v>1207238000</v>
      </c>
      <c r="E18" s="10">
        <f>+D18/D19</f>
        <v/>
      </c>
      <c r="F18" s="9">
        <f>+B18-D18</f>
        <v/>
      </c>
      <c r="G18" s="10">
        <f>+F18/D18</f>
        <v/>
      </c>
    </row>
    <row r="19">
      <c r="A19" s="8" t="inlineStr">
        <is>
          <t>Total</t>
        </is>
      </c>
      <c r="B19" s="11">
        <f>SUM(B4:B18)</f>
        <v/>
      </c>
      <c r="C19" s="5">
        <f>SUM(C4:C18)</f>
        <v/>
      </c>
      <c r="D19" s="11">
        <f>SUM(D4:D18)</f>
        <v/>
      </c>
      <c r="E19" s="5">
        <f>SUM(E4:E18)</f>
        <v/>
      </c>
      <c r="F19" s="11">
        <f>SUM(F4:F18)</f>
        <v/>
      </c>
      <c r="G19" s="10">
        <f>+F19/D19</f>
        <v/>
      </c>
    </row>
    <row r="20">
      <c r="G20" s="12" t="n"/>
    </row>
    <row r="21">
      <c r="J21" s="6" t="inlineStr">
        <is>
          <t>AGENCES</t>
        </is>
      </c>
      <c r="K21" s="2" t="n">
        <v>45291</v>
      </c>
      <c r="L21" s="50" t="inlineStr">
        <is>
          <t>REGIONS</t>
        </is>
      </c>
      <c r="M21" s="6" t="inlineStr">
        <is>
          <t xml:space="preserve">CAHT </t>
        </is>
      </c>
      <c r="N21" s="51" t="n"/>
    </row>
    <row r="22">
      <c r="J22" s="52" t="n"/>
      <c r="K22" s="47" t="inlineStr">
        <is>
          <t>En FCFA</t>
        </is>
      </c>
      <c r="L22" s="52" t="n"/>
      <c r="M22" s="6" t="inlineStr">
        <is>
          <t>En Valeur</t>
        </is>
      </c>
      <c r="N22" s="7" t="inlineStr">
        <is>
          <t>En %</t>
        </is>
      </c>
    </row>
    <row r="23">
      <c r="J23" s="8" t="inlineStr">
        <is>
          <t>YAOUNDE-MESSASI</t>
        </is>
      </c>
      <c r="K23" s="9">
        <f>+B4</f>
        <v/>
      </c>
      <c r="L23" s="53" t="inlineStr">
        <is>
          <t>CENTRE-SUD-EST-GRAND NORD</t>
        </is>
      </c>
      <c r="M23" s="9" t="n"/>
      <c r="N23" s="10" t="n"/>
    </row>
    <row r="24">
      <c r="J24" s="8" t="inlineStr">
        <is>
          <t>YAOUNDE-AHALA</t>
        </is>
      </c>
      <c r="K24" s="9">
        <f>+B5</f>
        <v/>
      </c>
      <c r="L24" s="54" t="n"/>
      <c r="M24" s="53">
        <f>+K23+K24+K25+K26+K27+K28</f>
        <v/>
      </c>
      <c r="N24" s="55">
        <f>+M24/K37</f>
        <v/>
      </c>
    </row>
    <row r="25">
      <c r="J25" s="8" t="inlineStr">
        <is>
          <t>YAOUNDE-NKOABANG</t>
        </is>
      </c>
      <c r="K25" s="9">
        <f>+B6</f>
        <v/>
      </c>
      <c r="L25" s="54" t="n"/>
      <c r="M25" s="54" t="n"/>
      <c r="N25" s="54" t="n"/>
    </row>
    <row r="26">
      <c r="J26" s="8" t="inlineStr">
        <is>
          <t>YAOUNDE-NKOLBISSON</t>
        </is>
      </c>
      <c r="K26" s="9">
        <f>+B7</f>
        <v/>
      </c>
      <c r="L26" s="54" t="n"/>
      <c r="M26" s="54" t="n"/>
      <c r="N26" s="54" t="n"/>
    </row>
    <row r="27">
      <c r="J27" s="8" t="inlineStr">
        <is>
          <t>BERTOUA</t>
        </is>
      </c>
      <c r="K27" s="9">
        <f>+B8</f>
        <v/>
      </c>
      <c r="L27" s="54" t="n"/>
      <c r="M27" s="54" t="n"/>
      <c r="N27" s="54" t="n"/>
    </row>
    <row r="28">
      <c r="J28" s="8" t="inlineStr">
        <is>
          <t>NGAOUNDERE</t>
        </is>
      </c>
      <c r="K28" s="9">
        <f>+B9</f>
        <v/>
      </c>
      <c r="L28" s="52" t="n"/>
      <c r="M28" s="52" t="n"/>
      <c r="N28" s="52" t="n"/>
    </row>
    <row r="29">
      <c r="J29" s="8" t="inlineStr">
        <is>
          <t>BAFOUSSAM-FAMLA</t>
        </is>
      </c>
      <c r="K29" s="9">
        <f>+B10</f>
        <v/>
      </c>
      <c r="L29" s="53" t="inlineStr">
        <is>
          <t>OUEST-NORD OUEST</t>
        </is>
      </c>
      <c r="M29" s="53">
        <f>+K29+K30+K31</f>
        <v/>
      </c>
      <c r="N29" s="55">
        <f>+M29/K37</f>
        <v/>
      </c>
    </row>
    <row r="30">
      <c r="J30" s="8" t="inlineStr">
        <is>
          <t>BAFOUSSAM-DJELENG</t>
        </is>
      </c>
      <c r="K30" s="9">
        <f>+B11</f>
        <v/>
      </c>
      <c r="L30" s="54" t="n"/>
      <c r="M30" s="54" t="n"/>
      <c r="N30" s="54" t="n"/>
    </row>
    <row r="31">
      <c r="J31" s="8" t="inlineStr">
        <is>
          <t>BAMENDA</t>
        </is>
      </c>
      <c r="K31" s="9">
        <f>+B12</f>
        <v/>
      </c>
      <c r="L31" s="52" t="n"/>
      <c r="M31" s="52" t="n"/>
      <c r="N31" s="52" t="n"/>
    </row>
    <row r="32">
      <c r="J32" s="8" t="inlineStr">
        <is>
          <t>NKONGSAMBA</t>
        </is>
      </c>
      <c r="K32" s="9">
        <f>+B13</f>
        <v/>
      </c>
      <c r="L32" s="53" t="inlineStr">
        <is>
          <t>LITTORAL-SUD OUEST</t>
        </is>
      </c>
      <c r="M32" s="53">
        <f>+K32+K33+K34+K35+K36</f>
        <v/>
      </c>
      <c r="N32" s="55">
        <f>+M32/K37</f>
        <v/>
      </c>
    </row>
    <row r="33">
      <c r="J33" s="8" t="inlineStr">
        <is>
          <t>BUEA</t>
        </is>
      </c>
      <c r="K33" s="9">
        <f>+B14</f>
        <v/>
      </c>
      <c r="L33" s="54" t="n"/>
      <c r="M33" s="54" t="n"/>
      <c r="N33" s="54" t="n"/>
    </row>
    <row r="34">
      <c r="J34" s="8" t="inlineStr">
        <is>
          <t>DOUALA-AXE LOURD</t>
        </is>
      </c>
      <c r="K34" s="9">
        <f>+B15</f>
        <v/>
      </c>
      <c r="L34" s="54" t="n"/>
      <c r="M34" s="54" t="n"/>
      <c r="N34" s="54" t="n"/>
    </row>
    <row r="35">
      <c r="J35" s="8" t="inlineStr">
        <is>
          <t>DOUALA-SIEGE</t>
        </is>
      </c>
      <c r="K35" s="9">
        <f>+B16</f>
        <v/>
      </c>
      <c r="L35" s="54" t="n"/>
      <c r="M35" s="54" t="n"/>
      <c r="N35" s="54" t="n"/>
    </row>
    <row r="36">
      <c r="J36" s="8" t="inlineStr">
        <is>
          <t>DOUALA-PK11</t>
        </is>
      </c>
      <c r="K36" s="9">
        <f>+B17</f>
        <v/>
      </c>
      <c r="L36" s="52" t="n"/>
      <c r="M36" s="52" t="n"/>
      <c r="N36" s="52" t="n"/>
    </row>
    <row r="37">
      <c r="J37" s="8" t="inlineStr">
        <is>
          <t>Total</t>
        </is>
      </c>
      <c r="K37" s="11">
        <f>SUM(K23:K36)</f>
        <v/>
      </c>
      <c r="L37" s="11" t="n"/>
      <c r="M37" s="11">
        <f>SUM(M23:M36)</f>
        <v/>
      </c>
      <c r="N37" s="10">
        <f>+M37/K37</f>
        <v/>
      </c>
    </row>
    <row r="38"/>
    <row r="39"/>
    <row r="40"/>
    <row r="41"/>
    <row r="42">
      <c r="A42" s="6" t="inlineStr">
        <is>
          <t>AGENCES</t>
        </is>
      </c>
      <c r="B42" s="50" t="n">
        <v>45657</v>
      </c>
      <c r="C42" s="51" t="n"/>
      <c r="D42" s="2" t="n">
        <v>45291</v>
      </c>
      <c r="E42" s="3" t="n"/>
      <c r="F42" s="6" t="inlineStr">
        <is>
          <t>Variation</t>
        </is>
      </c>
      <c r="G42" s="51" t="n"/>
    </row>
    <row r="43">
      <c r="A43" s="52" t="n"/>
      <c r="B43" s="47" t="inlineStr">
        <is>
          <t>En FCFA</t>
        </is>
      </c>
      <c r="C43" s="5" t="inlineStr">
        <is>
          <t>%</t>
        </is>
      </c>
      <c r="D43" s="47" t="inlineStr">
        <is>
          <t>En FCFA</t>
        </is>
      </c>
      <c r="E43" s="5" t="inlineStr">
        <is>
          <t>%</t>
        </is>
      </c>
      <c r="F43" s="6" t="inlineStr">
        <is>
          <t>En Valeur</t>
        </is>
      </c>
      <c r="G43" s="7" t="inlineStr">
        <is>
          <t>En %</t>
        </is>
      </c>
    </row>
    <row r="44">
      <c r="A44" s="8" t="inlineStr">
        <is>
          <t>YAOUNDE-MESSASI</t>
        </is>
      </c>
      <c r="B44" s="9" t="n">
        <v>2707915293</v>
      </c>
      <c r="C44" s="10">
        <f>+B44/B59</f>
        <v/>
      </c>
      <c r="D44" s="9">
        <f>3366370000</f>
        <v/>
      </c>
      <c r="E44" s="10">
        <f>+D44/D59</f>
        <v/>
      </c>
      <c r="F44" s="9">
        <f>+B44-D44</f>
        <v/>
      </c>
      <c r="G44" s="10">
        <f>+F44/D44</f>
        <v/>
      </c>
    </row>
    <row r="45">
      <c r="A45" s="8" t="inlineStr">
        <is>
          <t>YAOUNDE-AHALA</t>
        </is>
      </c>
      <c r="B45" s="9" t="n">
        <v>1641426915</v>
      </c>
      <c r="C45" s="10">
        <f>+B45/B59</f>
        <v/>
      </c>
      <c r="D45" s="9" t="n">
        <v>1546070774</v>
      </c>
      <c r="E45" s="10">
        <f>+D45/D59</f>
        <v/>
      </c>
      <c r="F45" s="9">
        <f>+B45-D45</f>
        <v/>
      </c>
      <c r="G45" s="10">
        <f>+F45/D45</f>
        <v/>
      </c>
      <c r="J45" s="9" t="n"/>
    </row>
    <row r="46">
      <c r="A46" s="8" t="inlineStr">
        <is>
          <t>YAOUNDE-NKOABANG</t>
        </is>
      </c>
      <c r="B46" s="9" t="n">
        <v>830763413</v>
      </c>
      <c r="C46" s="10">
        <f>+B46/B59</f>
        <v/>
      </c>
      <c r="D46" s="9" t="n">
        <v>772591875</v>
      </c>
      <c r="E46" s="10">
        <f>+D46/D59</f>
        <v/>
      </c>
      <c r="F46" s="9">
        <f>+B46-D46</f>
        <v/>
      </c>
      <c r="G46" s="10">
        <f>+F46/D46</f>
        <v/>
      </c>
    </row>
    <row r="47">
      <c r="A47" s="8" t="inlineStr">
        <is>
          <t>YAOUNDE-NKOLBISSON</t>
        </is>
      </c>
      <c r="B47" s="9" t="n">
        <v>440465040</v>
      </c>
      <c r="C47" s="10">
        <f>+B47/B59</f>
        <v/>
      </c>
      <c r="D47" s="9" t="n">
        <v>863422230</v>
      </c>
      <c r="E47" s="10">
        <f>+D47/D59</f>
        <v/>
      </c>
      <c r="F47" s="9">
        <f>+B47-D47</f>
        <v/>
      </c>
      <c r="G47" s="10">
        <f>+F47/D47</f>
        <v/>
      </c>
    </row>
    <row r="48">
      <c r="A48" s="8" t="inlineStr">
        <is>
          <t>BERTOUA</t>
        </is>
      </c>
      <c r="B48" s="9" t="n">
        <v>1402222217</v>
      </c>
      <c r="C48" s="10">
        <f>+B48/B59</f>
        <v/>
      </c>
      <c r="D48" s="9" t="n">
        <v>1506653625</v>
      </c>
      <c r="E48" s="10">
        <f>+D48/D59</f>
        <v/>
      </c>
      <c r="F48" s="9">
        <f>+B48-D48</f>
        <v/>
      </c>
      <c r="G48" s="10">
        <f>+F48/D48</f>
        <v/>
      </c>
    </row>
    <row r="49">
      <c r="A49" s="8" t="inlineStr">
        <is>
          <t>NGAOUNDERE</t>
        </is>
      </c>
      <c r="B49" s="9" t="n">
        <v>675309436</v>
      </c>
      <c r="C49" s="10">
        <f>+B49/B59</f>
        <v/>
      </c>
      <c r="D49" s="9" t="n">
        <v>789815215</v>
      </c>
      <c r="E49" s="10">
        <f>+D49/D59</f>
        <v/>
      </c>
      <c r="F49" s="9">
        <f>+B49-D49</f>
        <v/>
      </c>
      <c r="G49" s="10">
        <f>+F49/D49</f>
        <v/>
      </c>
    </row>
    <row r="50">
      <c r="A50" s="8" t="inlineStr">
        <is>
          <t>BAFOUSSAM-FAMLA</t>
        </is>
      </c>
      <c r="B50" s="9" t="n">
        <v>8125468949</v>
      </c>
      <c r="C50" s="10">
        <f>+B50/B59</f>
        <v/>
      </c>
      <c r="D50" s="9" t="n">
        <v>7964120775</v>
      </c>
      <c r="E50" s="10">
        <f>+D50/D59</f>
        <v/>
      </c>
      <c r="F50" s="9">
        <f>+B50-D50</f>
        <v/>
      </c>
      <c r="G50" s="10">
        <f>+F50/D50</f>
        <v/>
      </c>
    </row>
    <row r="51">
      <c r="A51" s="8" t="inlineStr">
        <is>
          <t>BAFOUSSAM-DJELENG</t>
        </is>
      </c>
      <c r="B51" s="9" t="n">
        <v>2102978545</v>
      </c>
      <c r="C51" s="10">
        <f>+B51/B59</f>
        <v/>
      </c>
      <c r="D51" s="9" t="n">
        <v>1993522325</v>
      </c>
      <c r="E51" s="10">
        <f>+D51/D59</f>
        <v/>
      </c>
      <c r="F51" s="9">
        <f>+B51-D51</f>
        <v/>
      </c>
      <c r="G51" s="10">
        <f>+F51/D51</f>
        <v/>
      </c>
    </row>
    <row r="52">
      <c r="A52" s="8" t="inlineStr">
        <is>
          <t>BAMENDA</t>
        </is>
      </c>
      <c r="B52" s="9" t="n">
        <v>328668850</v>
      </c>
      <c r="C52" s="10">
        <f>+B52/B59</f>
        <v/>
      </c>
      <c r="D52" s="9" t="n">
        <v>557299290</v>
      </c>
      <c r="E52" s="10">
        <f>+D52/D59</f>
        <v/>
      </c>
      <c r="F52" s="9">
        <f>+B52-D52</f>
        <v/>
      </c>
      <c r="G52" s="10">
        <f>+F52/D52</f>
        <v/>
      </c>
    </row>
    <row r="53">
      <c r="A53" s="8" t="inlineStr">
        <is>
          <t>NKONGSAMBA</t>
        </is>
      </c>
      <c r="B53" s="9" t="n">
        <v>1198885029</v>
      </c>
      <c r="C53" s="10">
        <f>+B53/B59</f>
        <v/>
      </c>
      <c r="D53" s="9" t="n">
        <v>1091882440</v>
      </c>
      <c r="E53" s="10">
        <f>+D53/D59</f>
        <v/>
      </c>
      <c r="F53" s="9">
        <f>+B53-D53</f>
        <v/>
      </c>
      <c r="G53" s="10">
        <f>+F53/D53</f>
        <v/>
      </c>
    </row>
    <row r="54">
      <c r="A54" s="8" t="inlineStr">
        <is>
          <t>BUEA</t>
        </is>
      </c>
      <c r="B54" s="9" t="n">
        <v>1232345192</v>
      </c>
      <c r="C54" s="10">
        <f>+B54/B59</f>
        <v/>
      </c>
      <c r="D54" s="9" t="n">
        <v>1277335515</v>
      </c>
      <c r="E54" s="10">
        <f>+D54/D59</f>
        <v/>
      </c>
      <c r="F54" s="9">
        <f>+B54-D54</f>
        <v/>
      </c>
      <c r="G54" s="10">
        <f>+F54/D54</f>
        <v/>
      </c>
    </row>
    <row r="55">
      <c r="A55" s="8" t="inlineStr">
        <is>
          <t>DOUALA-AXE LOURD</t>
        </is>
      </c>
      <c r="B55" s="9" t="n">
        <v>1525806455</v>
      </c>
      <c r="C55" s="10">
        <f>+B55/B59</f>
        <v/>
      </c>
      <c r="D55" s="9" t="n">
        <v>1846475970</v>
      </c>
      <c r="E55" s="10">
        <f>+D55/D59</f>
        <v/>
      </c>
      <c r="F55" s="9">
        <f>+B55-D55</f>
        <v/>
      </c>
      <c r="G55" s="10">
        <f>+F55/D55</f>
        <v/>
      </c>
    </row>
    <row r="56">
      <c r="A56" s="8" t="inlineStr">
        <is>
          <t>DOUALA-SIEGE</t>
        </is>
      </c>
      <c r="B56" s="9" t="n">
        <v>4509481891</v>
      </c>
      <c r="C56" s="10">
        <f>+B56/B59</f>
        <v/>
      </c>
      <c r="D56" s="9">
        <f>4575986650-6386967</f>
        <v/>
      </c>
      <c r="E56" s="10">
        <f>+D56/D59</f>
        <v/>
      </c>
      <c r="F56" s="9">
        <f>+B56-D56</f>
        <v/>
      </c>
      <c r="G56" s="10">
        <f>+F56/D56</f>
        <v/>
      </c>
    </row>
    <row r="57">
      <c r="A57" s="8" t="inlineStr">
        <is>
          <t>DOUALA-PK11</t>
        </is>
      </c>
      <c r="B57" s="9" t="n">
        <v>848728333</v>
      </c>
      <c r="C57" s="10">
        <f>+B57/B59</f>
        <v/>
      </c>
      <c r="D57" s="9" t="n">
        <v>881514055</v>
      </c>
      <c r="E57" s="10">
        <f>+D57/D59</f>
        <v/>
      </c>
      <c r="F57" s="9">
        <f>+B57-D57</f>
        <v/>
      </c>
      <c r="G57" s="10">
        <f>+F57/D57</f>
        <v/>
      </c>
    </row>
    <row r="58">
      <c r="A58" s="8" t="inlineStr">
        <is>
          <t>SPC</t>
        </is>
      </c>
      <c r="B58" s="9" t="n">
        <v>0</v>
      </c>
      <c r="C58" s="10" t="n"/>
      <c r="D58" s="9" t="n">
        <v>0</v>
      </c>
      <c r="E58" s="10">
        <f>+D58/D59</f>
        <v/>
      </c>
      <c r="F58" s="9">
        <f>+B58-D58</f>
        <v/>
      </c>
      <c r="G58" s="10" t="n">
        <v>0</v>
      </c>
    </row>
    <row r="59">
      <c r="A59" s="8" t="inlineStr">
        <is>
          <t>Total</t>
        </is>
      </c>
      <c r="B59" s="11">
        <f>SUM(B44:B58)</f>
        <v/>
      </c>
      <c r="C59" s="5">
        <f>SUM(C44:C58)</f>
        <v/>
      </c>
      <c r="D59" s="11">
        <f>SUM(D44:D58)</f>
        <v/>
      </c>
      <c r="E59" s="5">
        <f>SUM(E44:E58)</f>
        <v/>
      </c>
      <c r="F59" s="11">
        <f>SUM(F44:F58)</f>
        <v/>
      </c>
      <c r="G59" s="10">
        <f>+F59/D59</f>
        <v/>
      </c>
    </row>
    <row r="60">
      <c r="G60" s="12" t="n"/>
    </row>
    <row r="61">
      <c r="J61" s="6" t="inlineStr">
        <is>
          <t>AGENCES</t>
        </is>
      </c>
      <c r="K61" s="2" t="n">
        <v>45657</v>
      </c>
      <c r="L61" s="50" t="inlineStr">
        <is>
          <t>REGIONS</t>
        </is>
      </c>
      <c r="M61" s="6" t="inlineStr">
        <is>
          <t xml:space="preserve">CAHT </t>
        </is>
      </c>
      <c r="N61" s="51" t="n"/>
    </row>
    <row r="62">
      <c r="J62" s="52" t="n"/>
      <c r="K62" s="47" t="inlineStr">
        <is>
          <t>En FCFA</t>
        </is>
      </c>
      <c r="L62" s="52" t="n"/>
      <c r="M62" s="6" t="inlineStr">
        <is>
          <t>En Valeur</t>
        </is>
      </c>
      <c r="N62" s="7" t="inlineStr">
        <is>
          <t>En %</t>
        </is>
      </c>
    </row>
    <row r="63">
      <c r="J63" s="8" t="inlineStr">
        <is>
          <t>YAOUNDE-MESSASI</t>
        </is>
      </c>
      <c r="K63" s="9">
        <f>+B44</f>
        <v/>
      </c>
      <c r="L63" s="53" t="inlineStr">
        <is>
          <t>CENTRE-SUD-EST-GRAND NORD</t>
        </is>
      </c>
      <c r="M63" s="9" t="n"/>
      <c r="N63" s="10" t="n"/>
    </row>
    <row r="64">
      <c r="J64" s="8" t="inlineStr">
        <is>
          <t>YAOUNDE-AHALA</t>
        </is>
      </c>
      <c r="K64" s="9">
        <f>+B45</f>
        <v/>
      </c>
      <c r="L64" s="54" t="n"/>
      <c r="M64" s="53">
        <f>+K63+K64+K65+K66+K67+K68</f>
        <v/>
      </c>
      <c r="N64" s="55">
        <f>+M64/K77</f>
        <v/>
      </c>
    </row>
    <row r="65">
      <c r="J65" s="8" t="inlineStr">
        <is>
          <t>YAOUNDE-NKOABANG</t>
        </is>
      </c>
      <c r="K65" s="9">
        <f>+B46</f>
        <v/>
      </c>
      <c r="L65" s="54" t="n"/>
      <c r="M65" s="54" t="n"/>
      <c r="N65" s="54" t="n"/>
    </row>
    <row r="66">
      <c r="J66" s="8" t="inlineStr">
        <is>
          <t>YAOUNDE-NKOLBISSON</t>
        </is>
      </c>
      <c r="K66" s="9">
        <f>+B47</f>
        <v/>
      </c>
      <c r="L66" s="54" t="n"/>
      <c r="M66" s="54" t="n"/>
      <c r="N66" s="54" t="n"/>
    </row>
    <row r="67">
      <c r="J67" s="8" t="inlineStr">
        <is>
          <t>BERTOUA</t>
        </is>
      </c>
      <c r="K67" s="9">
        <f>+B48</f>
        <v/>
      </c>
      <c r="L67" s="54" t="n"/>
      <c r="M67" s="54" t="n"/>
      <c r="N67" s="54" t="n"/>
    </row>
    <row r="68">
      <c r="J68" s="8" t="inlineStr">
        <is>
          <t>NGAOUNDERE</t>
        </is>
      </c>
      <c r="K68" s="9">
        <f>+B49</f>
        <v/>
      </c>
      <c r="L68" s="52" t="n"/>
      <c r="M68" s="52" t="n"/>
      <c r="N68" s="52" t="n"/>
    </row>
    <row r="69">
      <c r="J69" s="8" t="inlineStr">
        <is>
          <t>BAFOUSSAM-FAMLA</t>
        </is>
      </c>
      <c r="K69" s="9">
        <f>+B50</f>
        <v/>
      </c>
      <c r="L69" s="53" t="inlineStr">
        <is>
          <t>OUEST-NORD OUEST</t>
        </is>
      </c>
      <c r="M69" s="53">
        <f>+K69+K70+K71</f>
        <v/>
      </c>
      <c r="N69" s="55">
        <f>+M69/K77</f>
        <v/>
      </c>
    </row>
    <row r="70">
      <c r="J70" s="8" t="inlineStr">
        <is>
          <t>BAFOUSSAM-DJELENG</t>
        </is>
      </c>
      <c r="K70" s="9">
        <f>+B51</f>
        <v/>
      </c>
      <c r="L70" s="54" t="n"/>
      <c r="M70" s="54" t="n"/>
      <c r="N70" s="54" t="n"/>
    </row>
    <row r="71">
      <c r="J71" s="8" t="inlineStr">
        <is>
          <t>BAMENDA</t>
        </is>
      </c>
      <c r="K71" s="9">
        <f>+B52</f>
        <v/>
      </c>
      <c r="L71" s="52" t="n"/>
      <c r="M71" s="52" t="n"/>
      <c r="N71" s="52" t="n"/>
    </row>
    <row r="72">
      <c r="J72" s="8" t="inlineStr">
        <is>
          <t>NKONGSAMBA</t>
        </is>
      </c>
      <c r="K72" s="9">
        <f>+B53</f>
        <v/>
      </c>
      <c r="L72" s="53" t="inlineStr">
        <is>
          <t>LITTORAL-SUD OUEST</t>
        </is>
      </c>
      <c r="M72" s="53">
        <f>+K72+K73+K74+K75+K76</f>
        <v/>
      </c>
      <c r="N72" s="55">
        <f>+M72/K77</f>
        <v/>
      </c>
    </row>
    <row r="73">
      <c r="J73" s="8" t="inlineStr">
        <is>
          <t>BUEA</t>
        </is>
      </c>
      <c r="K73" s="9">
        <f>+B54</f>
        <v/>
      </c>
      <c r="L73" s="54" t="n"/>
      <c r="M73" s="54" t="n"/>
      <c r="N73" s="54" t="n"/>
    </row>
    <row r="74">
      <c r="J74" s="8" t="inlineStr">
        <is>
          <t>DOUALA-AXE LOURD</t>
        </is>
      </c>
      <c r="K74" s="9">
        <f>+B55</f>
        <v/>
      </c>
      <c r="L74" s="54" t="n"/>
      <c r="M74" s="54" t="n"/>
      <c r="N74" s="54" t="n"/>
    </row>
    <row r="75">
      <c r="J75" s="8" t="inlineStr">
        <is>
          <t>DOUALA-SIEGE</t>
        </is>
      </c>
      <c r="K75" s="9">
        <f>+B56</f>
        <v/>
      </c>
      <c r="L75" s="54" t="n"/>
      <c r="M75" s="54" t="n"/>
      <c r="N75" s="54" t="n"/>
    </row>
    <row r="76">
      <c r="J76" s="8" t="inlineStr">
        <is>
          <t>DOUALA-PK11</t>
        </is>
      </c>
      <c r="K76" s="9">
        <f>+B57</f>
        <v/>
      </c>
      <c r="L76" s="52" t="n"/>
      <c r="M76" s="52" t="n"/>
      <c r="N76" s="52" t="n"/>
    </row>
    <row r="77">
      <c r="J77" s="8" t="inlineStr">
        <is>
          <t>Total</t>
        </is>
      </c>
      <c r="K77" s="11">
        <f>SUM(K63:K76)</f>
        <v/>
      </c>
      <c r="L77" s="11" t="n"/>
      <c r="M77" s="11">
        <f>SUM(M63:M76)</f>
        <v/>
      </c>
      <c r="N77" s="10">
        <f>+M77/K77</f>
        <v/>
      </c>
    </row>
    <row r="78"/>
    <row r="79">
      <c r="A79" s="6" t="inlineStr">
        <is>
          <t>AGENCES</t>
        </is>
      </c>
      <c r="B79" s="50" t="n">
        <v>46022</v>
      </c>
      <c r="C79" s="51" t="n"/>
      <c r="D79" s="2" t="n">
        <v>45657</v>
      </c>
      <c r="E79" s="3" t="n"/>
      <c r="F79" s="6" t="inlineStr">
        <is>
          <t>Variation</t>
        </is>
      </c>
      <c r="G79" s="51" t="n"/>
    </row>
    <row r="80">
      <c r="A80" s="52" t="n"/>
      <c r="B80" s="47" t="inlineStr">
        <is>
          <t>En FCFA</t>
        </is>
      </c>
      <c r="C80" s="5" t="inlineStr">
        <is>
          <t>%</t>
        </is>
      </c>
      <c r="D80" s="47" t="inlineStr">
        <is>
          <t>En FCFA</t>
        </is>
      </c>
      <c r="E80" s="5" t="inlineStr">
        <is>
          <t>%</t>
        </is>
      </c>
      <c r="F80" s="6" t="inlineStr">
        <is>
          <t>En Valeur</t>
        </is>
      </c>
      <c r="G80" s="7" t="inlineStr">
        <is>
          <t>En %</t>
        </is>
      </c>
    </row>
    <row r="81">
      <c r="A81" s="8" t="inlineStr">
        <is>
          <t>YAOUNDE-MESSASI</t>
        </is>
      </c>
      <c r="B81" s="9" t="n">
        <v>3020552417.58</v>
      </c>
      <c r="C81" s="10">
        <f>+B81/$B$95</f>
        <v/>
      </c>
      <c r="D81" s="9" t="n">
        <v>2707915293</v>
      </c>
      <c r="E81" s="10">
        <f>+D81/D95</f>
        <v/>
      </c>
      <c r="F81" s="9">
        <f>+B81-D81</f>
        <v/>
      </c>
      <c r="G81" s="10">
        <f>+IFERROR(F81/D81,0)</f>
        <v/>
      </c>
      <c r="H81" s="4" t="inlineStr">
        <is>
          <t>AGENCE MESSASSI</t>
        </is>
      </c>
    </row>
    <row r="82">
      <c r="A82" s="8" t="inlineStr">
        <is>
          <t>YAOUNDE-AHALA</t>
        </is>
      </c>
      <c r="B82" s="9" t="n">
        <v>1772049316</v>
      </c>
      <c r="C82" s="10">
        <f>+B82/$B$95</f>
        <v/>
      </c>
      <c r="D82" s="9" t="n">
        <v>1641426915</v>
      </c>
      <c r="E82" s="10">
        <f>+D82/D95</f>
        <v/>
      </c>
      <c r="F82" s="9">
        <f>+B82-D82</f>
        <v/>
      </c>
      <c r="G82" s="10">
        <f>+IFERROR(F82/D82,0)</f>
        <v/>
      </c>
      <c r="H82" s="4" t="inlineStr">
        <is>
          <t>AGENCE AHALA</t>
        </is>
      </c>
    </row>
    <row r="83">
      <c r="A83" s="8" t="inlineStr">
        <is>
          <t>YAOUNDE-NKOABANG</t>
        </is>
      </c>
      <c r="B83" s="9" t="n">
        <v>1050584749</v>
      </c>
      <c r="C83" s="10">
        <f>+B83/$B$95</f>
        <v/>
      </c>
      <c r="D83" s="9" t="n">
        <v>830763413</v>
      </c>
      <c r="E83" s="10">
        <f>+D83/D95</f>
        <v/>
      </c>
      <c r="F83" s="9">
        <f>+B83-D83</f>
        <v/>
      </c>
      <c r="G83" s="10">
        <f>+IFERROR(F83/D83,0)</f>
        <v/>
      </c>
      <c r="H83" s="4" t="inlineStr">
        <is>
          <t>AGENCE NKOABANG</t>
        </is>
      </c>
    </row>
    <row r="84">
      <c r="A84" s="8" t="inlineStr">
        <is>
          <t>YAOUNDE-NKOLBISSON</t>
        </is>
      </c>
      <c r="B84" s="9" t="n">
        <v>582416723</v>
      </c>
      <c r="C84" s="10">
        <f>+B84/$B$95</f>
        <v/>
      </c>
      <c r="D84" s="9" t="n">
        <v>440465040</v>
      </c>
      <c r="E84" s="10">
        <f>+D84/D95</f>
        <v/>
      </c>
      <c r="F84" s="9">
        <f>+B84-D84</f>
        <v/>
      </c>
      <c r="G84" s="10">
        <f>+IFERROR(F84/D84,0)</f>
        <v/>
      </c>
      <c r="H84" s="4" t="inlineStr">
        <is>
          <t>AGENCE NKOLBISSON</t>
        </is>
      </c>
    </row>
    <row r="85">
      <c r="A85" s="8" t="inlineStr">
        <is>
          <t>BERTOUA</t>
        </is>
      </c>
      <c r="B85" s="9" t="n">
        <v>1625439978.03</v>
      </c>
      <c r="C85" s="10">
        <f>+B85/$B$95</f>
        <v/>
      </c>
      <c r="D85" s="9" t="n">
        <v>1402222217</v>
      </c>
      <c r="E85" s="10">
        <f>+D85/D95</f>
        <v/>
      </c>
      <c r="F85" s="9">
        <f>+B85-D85</f>
        <v/>
      </c>
      <c r="G85" s="10">
        <f>+IFERROR(F85/D85,0)</f>
        <v/>
      </c>
      <c r="H85" s="4" t="inlineStr">
        <is>
          <t>AGENCE BERTOUA</t>
        </is>
      </c>
    </row>
    <row r="86">
      <c r="A86" s="8" t="inlineStr">
        <is>
          <t>NGAOUNDERE</t>
        </is>
      </c>
      <c r="B86" s="9" t="n">
        <v>905166595</v>
      </c>
      <c r="C86" s="10">
        <f>+B86/$B$95</f>
        <v/>
      </c>
      <c r="D86" s="9" t="n">
        <v>675309436</v>
      </c>
      <c r="E86" s="10">
        <f>+D86/D95</f>
        <v/>
      </c>
      <c r="F86" s="9">
        <f>+B86-D86</f>
        <v/>
      </c>
      <c r="G86" s="10">
        <f>+IFERROR(F86/D86,0)</f>
        <v/>
      </c>
      <c r="H86" s="4" t="inlineStr">
        <is>
          <t>AGENCE NGAOUNDERE</t>
        </is>
      </c>
    </row>
    <row r="87">
      <c r="A87" s="8" t="inlineStr">
        <is>
          <t>BAFOUSSAM-FAMLA</t>
        </is>
      </c>
      <c r="B87" s="9" t="n">
        <v>9394218345</v>
      </c>
      <c r="C87" s="10">
        <f>+B87/$B$95</f>
        <v/>
      </c>
      <c r="D87" s="9" t="n">
        <v>8125468949</v>
      </c>
      <c r="E87" s="10">
        <f>+D87/D95</f>
        <v/>
      </c>
      <c r="F87" s="9">
        <f>+B87-D87</f>
        <v/>
      </c>
      <c r="G87" s="10">
        <f>+IFERROR(F87/D87,0)</f>
        <v/>
      </c>
      <c r="H87" s="4" t="inlineStr">
        <is>
          <t>AGENCE FAMLA</t>
        </is>
      </c>
    </row>
    <row r="88">
      <c r="A88" s="8" t="inlineStr">
        <is>
          <t>BAFOUSSAM-DJELENG</t>
        </is>
      </c>
      <c r="B88" s="9" t="n">
        <v>2236962996</v>
      </c>
      <c r="C88" s="10">
        <f>+B88/$B$95</f>
        <v/>
      </c>
      <c r="D88" s="9" t="n">
        <v>2102978545</v>
      </c>
      <c r="E88" s="10">
        <f>+D88/D95</f>
        <v/>
      </c>
      <c r="F88" s="9">
        <f>+B88-D88</f>
        <v/>
      </c>
      <c r="G88" s="10">
        <f>+IFERROR(F88/D88,0)</f>
        <v/>
      </c>
      <c r="H88" s="4" t="inlineStr">
        <is>
          <t>AGENCE DJELENG</t>
        </is>
      </c>
    </row>
    <row r="89">
      <c r="A89" s="8" t="inlineStr">
        <is>
          <t>BAMENDA</t>
        </is>
      </c>
      <c r="B89" s="9" t="n">
        <v>1494908810</v>
      </c>
      <c r="C89" s="10">
        <f>+B89/$B$95</f>
        <v/>
      </c>
      <c r="D89" s="9" t="n">
        <v>328668850</v>
      </c>
      <c r="E89" s="10">
        <f>+D89/D95</f>
        <v/>
      </c>
      <c r="F89" s="9">
        <f>+B89-D89</f>
        <v/>
      </c>
      <c r="G89" s="10">
        <f>+IFERROR(F89/D89,0)</f>
        <v/>
      </c>
      <c r="H89" s="4" t="inlineStr">
        <is>
          <t>AGENCE DE BAMENDA - DEPOT MBOUDA</t>
        </is>
      </c>
    </row>
    <row r="90">
      <c r="A90" s="8" t="inlineStr">
        <is>
          <t>NKONGSAMBA</t>
        </is>
      </c>
      <c r="B90" s="9" t="n">
        <v>1453962960.03</v>
      </c>
      <c r="C90" s="10">
        <f>+B90/$B$95</f>
        <v/>
      </c>
      <c r="D90" s="9" t="n">
        <v>1198885029</v>
      </c>
      <c r="E90" s="10">
        <f>+D90/D95</f>
        <v/>
      </c>
      <c r="F90" s="9">
        <f>+B90-D90</f>
        <v/>
      </c>
      <c r="G90" s="10">
        <f>+IFERROR(F90/D90,0)</f>
        <v/>
      </c>
      <c r="H90" s="4" t="inlineStr">
        <is>
          <t>AGENCE NKONGSAMBA</t>
        </is>
      </c>
    </row>
    <row r="91">
      <c r="A91" s="8" t="inlineStr">
        <is>
          <t>BUEA</t>
        </is>
      </c>
      <c r="B91" s="9" t="n">
        <v>1279770360</v>
      </c>
      <c r="C91" s="10">
        <f>+B91/$B$95</f>
        <v/>
      </c>
      <c r="D91" s="9" t="n">
        <v>1232345192</v>
      </c>
      <c r="E91" s="10">
        <f>+D91/D95</f>
        <v/>
      </c>
      <c r="F91" s="9">
        <f>+B91-D91</f>
        <v/>
      </c>
      <c r="G91" s="10">
        <f>+IFERROR(F91/D91,0)</f>
        <v/>
      </c>
      <c r="H91" s="4" t="inlineStr">
        <is>
          <t>AGENCE BUEA</t>
        </is>
      </c>
    </row>
    <row r="92">
      <c r="A92" s="8" t="inlineStr">
        <is>
          <t>DOUALA-AXE LOURD</t>
        </is>
      </c>
      <c r="B92" s="9" t="n">
        <v>1766423333</v>
      </c>
      <c r="C92" s="10">
        <f>+B92/$B$95</f>
        <v/>
      </c>
      <c r="D92" s="9" t="n">
        <v>1525806455</v>
      </c>
      <c r="E92" s="10">
        <f>+D92/D95</f>
        <v/>
      </c>
      <c r="F92" s="9">
        <f>+B92-D92</f>
        <v/>
      </c>
      <c r="G92" s="10">
        <f>+IFERROR(F92/D92,0)</f>
        <v/>
      </c>
      <c r="H92" s="4" t="inlineStr">
        <is>
          <t>AGENCE VILLAGE</t>
        </is>
      </c>
    </row>
    <row r="93">
      <c r="A93" s="8" t="inlineStr">
        <is>
          <t>DOUALA-SIEGE</t>
        </is>
      </c>
      <c r="B93" s="9" t="n">
        <v>6162245837</v>
      </c>
      <c r="C93" s="10">
        <f>+B93/$B$95</f>
        <v/>
      </c>
      <c r="D93" s="9" t="n">
        <v>4509481891</v>
      </c>
      <c r="E93" s="10">
        <f>+D93/D95</f>
        <v/>
      </c>
      <c r="F93" s="9">
        <f>+B93-D93</f>
        <v/>
      </c>
      <c r="G93" s="10">
        <f>+IFERROR(F93/D93,0)</f>
        <v/>
      </c>
      <c r="H93" s="4" t="inlineStr">
        <is>
          <t>AGENCE NDOBO</t>
        </is>
      </c>
    </row>
    <row r="94">
      <c r="A94" s="8" t="inlineStr">
        <is>
          <t>DOUALA-PK11</t>
        </is>
      </c>
      <c r="B94" s="9" t="n">
        <v>1115123625</v>
      </c>
      <c r="C94" s="10">
        <f>+B94/$B$95</f>
        <v/>
      </c>
      <c r="D94" s="9" t="n">
        <v>848728333</v>
      </c>
      <c r="E94" s="10">
        <f>+D94/D95</f>
        <v/>
      </c>
      <c r="F94" s="9">
        <f>+B94-D94</f>
        <v/>
      </c>
      <c r="G94" s="10">
        <f>+IFERROR(F94/D94,0)</f>
        <v/>
      </c>
      <c r="H94" s="4" t="inlineStr">
        <is>
          <t>AGENCE PK11</t>
        </is>
      </c>
    </row>
    <row r="95">
      <c r="A95" s="8" t="inlineStr">
        <is>
          <t>Total</t>
        </is>
      </c>
      <c r="B95" s="11">
        <f>SUM(B81:B94)</f>
        <v/>
      </c>
      <c r="C95" s="5">
        <f>SUM(C81:C94)</f>
        <v/>
      </c>
      <c r="D95" s="11">
        <f>SUM(D81:D94)</f>
        <v/>
      </c>
      <c r="E95" s="5">
        <f>SUM(E81:E94)</f>
        <v/>
      </c>
      <c r="F95" s="11">
        <f>SUM(F81:F94)</f>
        <v/>
      </c>
      <c r="G95" s="10">
        <f>+IFERROR(F95/D95,0)</f>
        <v/>
      </c>
    </row>
    <row r="96"/>
    <row r="97">
      <c r="B97" s="33" t="n"/>
      <c r="J97" s="6" t="inlineStr">
        <is>
          <t>AGENCES</t>
        </is>
      </c>
      <c r="K97" s="2" t="n">
        <v>46022</v>
      </c>
      <c r="L97" s="50" t="inlineStr">
        <is>
          <t>REGIONS</t>
        </is>
      </c>
      <c r="M97" s="6" t="inlineStr">
        <is>
          <t xml:space="preserve">CAHT </t>
        </is>
      </c>
      <c r="N97" s="51" t="n"/>
    </row>
    <row r="98">
      <c r="B98" s="33" t="n"/>
      <c r="J98" s="52" t="n"/>
      <c r="K98" s="47" t="inlineStr">
        <is>
          <t>En FCFA</t>
        </is>
      </c>
      <c r="L98" s="52" t="n"/>
      <c r="M98" s="6" t="inlineStr">
        <is>
          <t>En Valeur</t>
        </is>
      </c>
      <c r="N98" s="7" t="inlineStr">
        <is>
          <t>En %</t>
        </is>
      </c>
    </row>
    <row r="99">
      <c r="J99" s="8" t="inlineStr">
        <is>
          <t>YAOUNDE-MESSASI</t>
        </is>
      </c>
      <c r="K99" s="9">
        <f>+B81</f>
        <v/>
      </c>
      <c r="L99" s="53" t="inlineStr">
        <is>
          <t>CENTRE-SUD-EST-GRAND NORD</t>
        </is>
      </c>
      <c r="M99" s="9" t="n"/>
      <c r="N99" s="10" t="n"/>
    </row>
    <row r="100">
      <c r="J100" s="8" t="inlineStr">
        <is>
          <t>YAOUNDE-AHALA</t>
        </is>
      </c>
      <c r="K100" s="9">
        <f>+B82</f>
        <v/>
      </c>
      <c r="L100" s="54" t="n"/>
      <c r="M100" s="53">
        <f>+K99+K100+K101+K102+K103+K104</f>
        <v/>
      </c>
      <c r="N100" s="55">
        <f>+M100/K113</f>
        <v/>
      </c>
    </row>
    <row r="101">
      <c r="B101" s="33" t="n"/>
      <c r="J101" s="8" t="inlineStr">
        <is>
          <t>YAOUNDE-NKOABANG</t>
        </is>
      </c>
      <c r="K101" s="9">
        <f>+B83</f>
        <v/>
      </c>
      <c r="L101" s="54" t="n"/>
      <c r="M101" s="54" t="n"/>
      <c r="N101" s="54" t="n"/>
    </row>
    <row r="102">
      <c r="J102" s="8" t="inlineStr">
        <is>
          <t>YAOUNDE-NKOLBISSON</t>
        </is>
      </c>
      <c r="K102" s="9">
        <f>+B84</f>
        <v/>
      </c>
      <c r="L102" s="54" t="n"/>
      <c r="M102" s="54" t="n"/>
      <c r="N102" s="54" t="n"/>
    </row>
    <row r="103">
      <c r="J103" s="8" t="inlineStr">
        <is>
          <t>BERTOUA</t>
        </is>
      </c>
      <c r="K103" s="9">
        <f>+B85</f>
        <v/>
      </c>
      <c r="L103" s="54" t="n"/>
      <c r="M103" s="54" t="n"/>
      <c r="N103" s="54" t="n"/>
    </row>
    <row r="104">
      <c r="J104" s="8" t="inlineStr">
        <is>
          <t>NGAOUNDERE</t>
        </is>
      </c>
      <c r="K104" s="9">
        <f>+B86</f>
        <v/>
      </c>
      <c r="L104" s="52" t="n"/>
      <c r="M104" s="52" t="n"/>
      <c r="N104" s="52" t="n"/>
    </row>
    <row r="105">
      <c r="J105" s="8" t="inlineStr">
        <is>
          <t>BAFOUSSAM-FAMLA</t>
        </is>
      </c>
      <c r="K105" s="9">
        <f>+B87</f>
        <v/>
      </c>
      <c r="L105" s="53" t="inlineStr">
        <is>
          <t>OUEST-NORD OUEST</t>
        </is>
      </c>
      <c r="M105" s="53">
        <f>+K105+K106+K107</f>
        <v/>
      </c>
      <c r="N105" s="55">
        <f>+M105/K113</f>
        <v/>
      </c>
    </row>
    <row r="106">
      <c r="J106" s="8" t="inlineStr">
        <is>
          <t>BAFOUSSAM-DJELENG</t>
        </is>
      </c>
      <c r="K106" s="9">
        <f>+B88</f>
        <v/>
      </c>
      <c r="L106" s="54" t="n"/>
      <c r="M106" s="54" t="n"/>
      <c r="N106" s="54" t="n"/>
    </row>
    <row r="107">
      <c r="J107" s="8" t="inlineStr">
        <is>
          <t>BAMENDA</t>
        </is>
      </c>
      <c r="K107" s="9">
        <f>+B89</f>
        <v/>
      </c>
      <c r="L107" s="52" t="n"/>
      <c r="M107" s="52" t="n"/>
      <c r="N107" s="52" t="n"/>
    </row>
    <row r="108">
      <c r="J108" s="8" t="inlineStr">
        <is>
          <t>NKONGSAMBA</t>
        </is>
      </c>
      <c r="K108" s="9">
        <f>+B90</f>
        <v/>
      </c>
      <c r="L108" s="53" t="inlineStr">
        <is>
          <t>LITTORAL-SUD OUEST</t>
        </is>
      </c>
      <c r="M108" s="53">
        <f>+K108+K109+K110+K111+K112</f>
        <v/>
      </c>
      <c r="N108" s="55">
        <f>+M108/K113</f>
        <v/>
      </c>
    </row>
    <row r="109">
      <c r="J109" s="8" t="inlineStr">
        <is>
          <t>BUEA</t>
        </is>
      </c>
      <c r="K109" s="9">
        <f>+B91</f>
        <v/>
      </c>
      <c r="L109" s="54" t="n"/>
      <c r="M109" s="54" t="n"/>
      <c r="N109" s="54" t="n"/>
    </row>
    <row r="110">
      <c r="J110" s="8" t="inlineStr">
        <is>
          <t>DOUALA-AXE LOURD</t>
        </is>
      </c>
      <c r="K110" s="9">
        <f>+B92</f>
        <v/>
      </c>
      <c r="L110" s="54" t="n"/>
      <c r="M110" s="54" t="n"/>
      <c r="N110" s="54" t="n"/>
    </row>
    <row r="111">
      <c r="J111" s="8" t="inlineStr">
        <is>
          <t>DOUALA-SIEGE</t>
        </is>
      </c>
      <c r="K111" s="9">
        <f>+B93</f>
        <v/>
      </c>
      <c r="L111" s="54" t="n"/>
      <c r="M111" s="54" t="n"/>
      <c r="N111" s="54" t="n"/>
    </row>
    <row r="112">
      <c r="J112" s="8" t="inlineStr">
        <is>
          <t>DOUALA-PK11</t>
        </is>
      </c>
      <c r="K112" s="9">
        <f>+B94</f>
        <v/>
      </c>
      <c r="L112" s="52" t="n"/>
      <c r="M112" s="52" t="n"/>
      <c r="N112" s="52" t="n"/>
    </row>
    <row r="113">
      <c r="J113" s="8" t="inlineStr">
        <is>
          <t>Total</t>
        </is>
      </c>
      <c r="K113" s="11">
        <f>SUM(K99:K112)</f>
        <v/>
      </c>
      <c r="L113" s="11" t="n"/>
      <c r="M113" s="11">
        <f>SUM(M99:M112)</f>
        <v/>
      </c>
      <c r="N113" s="10">
        <f>+M113/K113</f>
        <v/>
      </c>
    </row>
    <row r="114"/>
    <row r="115">
      <c r="A115" s="6" t="inlineStr">
        <is>
          <t>AGENCES</t>
        </is>
      </c>
      <c r="B115" s="50" t="n">
        <v>46295</v>
      </c>
      <c r="C115" s="51" t="n"/>
      <c r="D115" s="2" t="n">
        <v>45930</v>
      </c>
      <c r="E115" s="3" t="n"/>
      <c r="F115" s="6" t="inlineStr">
        <is>
          <t>Variation</t>
        </is>
      </c>
      <c r="G115" s="51" t="n"/>
    </row>
    <row r="116">
      <c r="A116" s="52" t="n"/>
      <c r="B116" s="47" t="inlineStr">
        <is>
          <t>En FCFA</t>
        </is>
      </c>
      <c r="C116" s="5" t="inlineStr">
        <is>
          <t>%</t>
        </is>
      </c>
      <c r="D116" s="47" t="inlineStr">
        <is>
          <t>En FCFA</t>
        </is>
      </c>
      <c r="E116" s="5" t="inlineStr">
        <is>
          <t>%</t>
        </is>
      </c>
      <c r="F116" s="6" t="inlineStr">
        <is>
          <t>En Valeur</t>
        </is>
      </c>
      <c r="G116" s="7" t="inlineStr">
        <is>
          <t>En %</t>
        </is>
      </c>
    </row>
    <row r="117">
      <c r="A117" s="8" t="inlineStr">
        <is>
          <t>YAOUNDE-MESSASI</t>
        </is>
      </c>
      <c r="B117" s="9" t="n"/>
      <c r="C117" s="10">
        <f>+B117/$B$131</f>
        <v/>
      </c>
      <c r="D117" s="9" t="n"/>
      <c r="E117" s="10">
        <f>+D117/D131</f>
        <v/>
      </c>
      <c r="F117" s="9">
        <f>+B117-D117</f>
        <v/>
      </c>
      <c r="G117" s="10">
        <f>+IFERROR(F117/D117,0)</f>
        <v/>
      </c>
      <c r="H117" s="4" t="inlineStr">
        <is>
          <t>AGENCE MESSASSI</t>
        </is>
      </c>
    </row>
    <row r="118">
      <c r="A118" s="8" t="inlineStr">
        <is>
          <t>YAOUNDE-AHALA</t>
        </is>
      </c>
      <c r="B118" s="9" t="n"/>
      <c r="C118" s="10">
        <f>+B118/$B$131</f>
        <v/>
      </c>
      <c r="D118" s="9" t="n"/>
      <c r="E118" s="10">
        <f>+D118/D131</f>
        <v/>
      </c>
      <c r="F118" s="9">
        <f>+B118-D118</f>
        <v/>
      </c>
      <c r="G118" s="10">
        <f>+IFERROR(F118/D118,0)</f>
        <v/>
      </c>
      <c r="H118" s="4" t="inlineStr">
        <is>
          <t>AGENCE AHALA</t>
        </is>
      </c>
    </row>
    <row r="119">
      <c r="A119" s="8" t="inlineStr">
        <is>
          <t>YAOUNDE-NKOABANG</t>
        </is>
      </c>
      <c r="B119" s="9" t="n"/>
      <c r="C119" s="10">
        <f>+B119/$B$131</f>
        <v/>
      </c>
      <c r="D119" s="9" t="n"/>
      <c r="E119" s="10">
        <f>+D119/D131</f>
        <v/>
      </c>
      <c r="F119" s="9">
        <f>+B119-D119</f>
        <v/>
      </c>
      <c r="G119" s="10">
        <f>+IFERROR(F119/D119,0)</f>
        <v/>
      </c>
      <c r="H119" s="4" t="inlineStr">
        <is>
          <t>AGENCE NKOABANG</t>
        </is>
      </c>
    </row>
    <row r="120">
      <c r="A120" s="8" t="inlineStr">
        <is>
          <t>YAOUNDE-NKOLBISSON</t>
        </is>
      </c>
      <c r="B120" s="9" t="n"/>
      <c r="C120" s="10">
        <f>+B120/$B$131</f>
        <v/>
      </c>
      <c r="D120" s="9" t="n"/>
      <c r="E120" s="10">
        <f>+D120/D131</f>
        <v/>
      </c>
      <c r="F120" s="9">
        <f>+B120-D120</f>
        <v/>
      </c>
      <c r="G120" s="10">
        <f>+IFERROR(F120/D120,0)</f>
        <v/>
      </c>
      <c r="H120" s="4" t="inlineStr">
        <is>
          <t>AGENCE NKOLBISSON</t>
        </is>
      </c>
    </row>
    <row r="121">
      <c r="A121" s="8" t="inlineStr">
        <is>
          <t>BERTOUA</t>
        </is>
      </c>
      <c r="B121" s="9" t="n"/>
      <c r="C121" s="10">
        <f>+B121/$B$131</f>
        <v/>
      </c>
      <c r="D121" s="9" t="n"/>
      <c r="E121" s="10">
        <f>+D121/D131</f>
        <v/>
      </c>
      <c r="F121" s="9">
        <f>+B121-D121</f>
        <v/>
      </c>
      <c r="G121" s="10">
        <f>+IFERROR(F121/D121,0)</f>
        <v/>
      </c>
      <c r="H121" s="4" t="inlineStr">
        <is>
          <t>AGENCE BERTOUA</t>
        </is>
      </c>
    </row>
    <row r="122">
      <c r="A122" s="8" t="inlineStr">
        <is>
          <t>NGAOUNDERE</t>
        </is>
      </c>
      <c r="B122" s="9" t="n"/>
      <c r="C122" s="10">
        <f>+B122/$B$131</f>
        <v/>
      </c>
      <c r="D122" s="9" t="n"/>
      <c r="E122" s="10">
        <f>+D122/D131</f>
        <v/>
      </c>
      <c r="F122" s="9">
        <f>+B122-D122</f>
        <v/>
      </c>
      <c r="G122" s="10">
        <f>+IFERROR(F122/D122,0)</f>
        <v/>
      </c>
      <c r="H122" s="4" t="inlineStr">
        <is>
          <t>AGENCE NGAOUNDERE</t>
        </is>
      </c>
    </row>
    <row r="123">
      <c r="A123" s="8" t="inlineStr">
        <is>
          <t>BAFOUSSAM-FAMLA</t>
        </is>
      </c>
      <c r="B123" s="9" t="n"/>
      <c r="C123" s="10">
        <f>+B123/$B$131</f>
        <v/>
      </c>
      <c r="D123" s="9" t="n"/>
      <c r="E123" s="10">
        <f>+D123/D131</f>
        <v/>
      </c>
      <c r="F123" s="9">
        <f>+B123-D123</f>
        <v/>
      </c>
      <c r="G123" s="10">
        <f>+IFERROR(F123/D123,0)</f>
        <v/>
      </c>
      <c r="H123" s="4" t="inlineStr">
        <is>
          <t>AGENCE FAMLA</t>
        </is>
      </c>
    </row>
    <row r="124">
      <c r="A124" s="8" t="inlineStr">
        <is>
          <t>BAFOUSSAM-DJELENG</t>
        </is>
      </c>
      <c r="B124" s="9" t="n"/>
      <c r="C124" s="10">
        <f>+B124/$B$131</f>
        <v/>
      </c>
      <c r="D124" s="9" t="n"/>
      <c r="E124" s="10">
        <f>+D124/D131</f>
        <v/>
      </c>
      <c r="F124" s="9">
        <f>+B124-D124</f>
        <v/>
      </c>
      <c r="G124" s="10">
        <f>+IFERROR(F124/D124,0)</f>
        <v/>
      </c>
      <c r="H124" s="4" t="inlineStr">
        <is>
          <t>AGENCE DJELENG</t>
        </is>
      </c>
    </row>
    <row r="125">
      <c r="A125" s="8" t="inlineStr">
        <is>
          <t>BAMENDA</t>
        </is>
      </c>
      <c r="B125" s="9" t="n"/>
      <c r="C125" s="10">
        <f>+B125/$B$131</f>
        <v/>
      </c>
      <c r="D125" s="9" t="n"/>
      <c r="E125" s="10">
        <f>+D125/D131</f>
        <v/>
      </c>
      <c r="F125" s="9">
        <f>+B125-D125</f>
        <v/>
      </c>
      <c r="G125" s="10">
        <f>+IFERROR(F125/D125,0)</f>
        <v/>
      </c>
      <c r="H125" s="4" t="inlineStr">
        <is>
          <t>AGENCE DE BAMENDA - DEPOT MBOUDA</t>
        </is>
      </c>
    </row>
    <row r="126">
      <c r="A126" s="8" t="inlineStr">
        <is>
          <t>NKONGSAMBA</t>
        </is>
      </c>
      <c r="B126" s="9" t="n"/>
      <c r="C126" s="10">
        <f>+B126/$B$131</f>
        <v/>
      </c>
      <c r="D126" s="9" t="n"/>
      <c r="E126" s="10">
        <f>+D126/D131</f>
        <v/>
      </c>
      <c r="F126" s="9">
        <f>+B126-D126</f>
        <v/>
      </c>
      <c r="G126" s="10">
        <f>+IFERROR(F126/D126,0)</f>
        <v/>
      </c>
      <c r="H126" s="4" t="inlineStr">
        <is>
          <t>AGENCE NKONGSAMBA</t>
        </is>
      </c>
    </row>
    <row r="127">
      <c r="A127" s="8" t="inlineStr">
        <is>
          <t>BUEA</t>
        </is>
      </c>
      <c r="B127" s="9" t="n"/>
      <c r="C127" s="10">
        <f>+B127/$B$131</f>
        <v/>
      </c>
      <c r="D127" s="9" t="n"/>
      <c r="E127" s="10">
        <f>+D127/D131</f>
        <v/>
      </c>
      <c r="F127" s="9">
        <f>+B127-D127</f>
        <v/>
      </c>
      <c r="G127" s="10">
        <f>+IFERROR(F127/D127,0)</f>
        <v/>
      </c>
      <c r="H127" s="4" t="inlineStr">
        <is>
          <t>AGENCE BUEA</t>
        </is>
      </c>
    </row>
    <row r="128">
      <c r="A128" s="8" t="inlineStr">
        <is>
          <t>DOUALA-AXE LOURD</t>
        </is>
      </c>
      <c r="B128" s="9" t="n"/>
      <c r="C128" s="10">
        <f>+B128/$B$131</f>
        <v/>
      </c>
      <c r="D128" s="9" t="n"/>
      <c r="E128" s="10">
        <f>+D128/D131</f>
        <v/>
      </c>
      <c r="F128" s="9">
        <f>+B128-D128</f>
        <v/>
      </c>
      <c r="G128" s="10">
        <f>+IFERROR(F128/D128,0)</f>
        <v/>
      </c>
      <c r="H128" s="4" t="inlineStr">
        <is>
          <t>AGENCE VILLAGE</t>
        </is>
      </c>
    </row>
    <row r="129">
      <c r="A129" s="8" t="inlineStr">
        <is>
          <t>DOUALA-SIEGE</t>
        </is>
      </c>
      <c r="B129" s="9" t="n"/>
      <c r="C129" s="10">
        <f>+B129/$B$131</f>
        <v/>
      </c>
      <c r="D129" s="9" t="n"/>
      <c r="E129" s="10">
        <f>+D129/D131</f>
        <v/>
      </c>
      <c r="F129" s="9">
        <f>+B129-D129</f>
        <v/>
      </c>
      <c r="G129" s="10">
        <f>+IFERROR(F129/D129,0)</f>
        <v/>
      </c>
      <c r="H129" s="4" t="inlineStr">
        <is>
          <t>AGENCE NDOBO</t>
        </is>
      </c>
    </row>
    <row r="130">
      <c r="A130" s="8" t="inlineStr">
        <is>
          <t>DOUALA-PK11</t>
        </is>
      </c>
      <c r="B130" s="9" t="n"/>
      <c r="C130" s="10">
        <f>+B130/$B$131</f>
        <v/>
      </c>
      <c r="D130" s="9" t="n"/>
      <c r="E130" s="10">
        <f>+D130/D131</f>
        <v/>
      </c>
      <c r="F130" s="9">
        <f>+B130-D130</f>
        <v/>
      </c>
      <c r="G130" s="10">
        <f>+IFERROR(F130/D130,0)</f>
        <v/>
      </c>
      <c r="H130" s="4" t="inlineStr">
        <is>
          <t>AGENCE PK11</t>
        </is>
      </c>
    </row>
    <row r="131">
      <c r="A131" s="8" t="inlineStr">
        <is>
          <t>Total</t>
        </is>
      </c>
      <c r="B131" s="11">
        <f>SUM(B117:B130)</f>
        <v/>
      </c>
      <c r="C131" s="5">
        <f>SUM(C117:C130)</f>
        <v/>
      </c>
      <c r="D131" s="11">
        <f>SUM(D117:D130)</f>
        <v/>
      </c>
      <c r="E131" s="5">
        <f>SUM(E117:E130)</f>
        <v/>
      </c>
      <c r="F131" s="11">
        <f>SUM(F117:F130)</f>
        <v/>
      </c>
      <c r="G131" s="10">
        <f>+IFERROR(F131/D131,0)</f>
        <v/>
      </c>
    </row>
    <row r="132"/>
    <row r="133">
      <c r="B133" s="33" t="n"/>
      <c r="J133" s="6" t="inlineStr">
        <is>
          <t>AGENCES</t>
        </is>
      </c>
      <c r="K133" s="2" t="n">
        <v>46295</v>
      </c>
      <c r="L133" s="50" t="inlineStr">
        <is>
          <t>REGIONS</t>
        </is>
      </c>
      <c r="M133" s="6" t="inlineStr">
        <is>
          <t xml:space="preserve">CAHT </t>
        </is>
      </c>
      <c r="N133" s="51" t="n"/>
    </row>
    <row r="134">
      <c r="B134" s="33" t="n"/>
      <c r="J134" s="52" t="n"/>
      <c r="K134" s="47" t="inlineStr">
        <is>
          <t>En FCFA</t>
        </is>
      </c>
      <c r="L134" s="52" t="n"/>
      <c r="M134" s="6" t="inlineStr">
        <is>
          <t>En Valeur</t>
        </is>
      </c>
      <c r="N134" s="7" t="inlineStr">
        <is>
          <t>En %</t>
        </is>
      </c>
    </row>
    <row r="135">
      <c r="J135" s="8" t="inlineStr">
        <is>
          <t>YAOUNDE-MESSASI</t>
        </is>
      </c>
      <c r="K135" s="9">
        <f>+B117</f>
        <v/>
      </c>
      <c r="L135" s="53" t="inlineStr">
        <is>
          <t>CENTRE-SUD-EST-GRAND NORD</t>
        </is>
      </c>
      <c r="M135" s="9" t="n"/>
      <c r="N135" s="10" t="n"/>
    </row>
    <row r="136">
      <c r="J136" s="8" t="inlineStr">
        <is>
          <t>YAOUNDE-AHALA</t>
        </is>
      </c>
      <c r="K136" s="9">
        <f>+B118</f>
        <v/>
      </c>
      <c r="L136" s="54" t="n"/>
      <c r="M136" s="53">
        <f>+K135+K136+K137+K138+K139+K140</f>
        <v/>
      </c>
      <c r="N136" s="55">
        <f>+M136/K149</f>
        <v/>
      </c>
    </row>
    <row r="137">
      <c r="B137" s="33" t="n"/>
      <c r="J137" s="8" t="inlineStr">
        <is>
          <t>YAOUNDE-NKOABANG</t>
        </is>
      </c>
      <c r="K137" s="9">
        <f>+B119</f>
        <v/>
      </c>
      <c r="L137" s="54" t="n"/>
      <c r="M137" s="54" t="n"/>
      <c r="N137" s="54" t="n"/>
    </row>
    <row r="138">
      <c r="J138" s="8" t="inlineStr">
        <is>
          <t>YAOUNDE-NKOLBISSON</t>
        </is>
      </c>
      <c r="K138" s="9">
        <f>+B120</f>
        <v/>
      </c>
      <c r="L138" s="54" t="n"/>
      <c r="M138" s="54" t="n"/>
      <c r="N138" s="54" t="n"/>
    </row>
    <row r="139">
      <c r="J139" s="8" t="inlineStr">
        <is>
          <t>BERTOUA</t>
        </is>
      </c>
      <c r="K139" s="9">
        <f>+B121</f>
        <v/>
      </c>
      <c r="L139" s="54" t="n"/>
      <c r="M139" s="54" t="n"/>
      <c r="N139" s="54" t="n"/>
    </row>
    <row r="140">
      <c r="J140" s="8" t="inlineStr">
        <is>
          <t>NGAOUNDERE</t>
        </is>
      </c>
      <c r="K140" s="9">
        <f>+B122</f>
        <v/>
      </c>
      <c r="L140" s="52" t="n"/>
      <c r="M140" s="52" t="n"/>
      <c r="N140" s="52" t="n"/>
    </row>
    <row r="141">
      <c r="J141" s="8" t="inlineStr">
        <is>
          <t>BAFOUSSAM-FAMLA</t>
        </is>
      </c>
      <c r="K141" s="9">
        <f>+B123</f>
        <v/>
      </c>
      <c r="L141" s="53" t="inlineStr">
        <is>
          <t>OUEST-NORD OUEST</t>
        </is>
      </c>
      <c r="M141" s="53">
        <f>+K141+K142+K143</f>
        <v/>
      </c>
      <c r="N141" s="55">
        <f>+M141/K149</f>
        <v/>
      </c>
    </row>
    <row r="142">
      <c r="J142" s="8" t="inlineStr">
        <is>
          <t>BAFOUSSAM-DJELENG</t>
        </is>
      </c>
      <c r="K142" s="9">
        <f>+B124</f>
        <v/>
      </c>
      <c r="L142" s="54" t="n"/>
      <c r="M142" s="54" t="n"/>
      <c r="N142" s="54" t="n"/>
    </row>
    <row r="143">
      <c r="J143" s="8" t="inlineStr">
        <is>
          <t>BAMENDA</t>
        </is>
      </c>
      <c r="K143" s="9">
        <f>+B125</f>
        <v/>
      </c>
      <c r="L143" s="52" t="n"/>
      <c r="M143" s="52" t="n"/>
      <c r="N143" s="52" t="n"/>
    </row>
    <row r="144">
      <c r="J144" s="8" t="inlineStr">
        <is>
          <t>NKONGSAMBA</t>
        </is>
      </c>
      <c r="K144" s="9">
        <f>+B126</f>
        <v/>
      </c>
      <c r="L144" s="53" t="inlineStr">
        <is>
          <t>LITTORAL-SUD OUEST</t>
        </is>
      </c>
      <c r="M144" s="53">
        <f>+K144+K145+K146+K147+K148</f>
        <v/>
      </c>
      <c r="N144" s="55">
        <f>+M144/K149</f>
        <v/>
      </c>
    </row>
    <row r="145">
      <c r="J145" s="8" t="inlineStr">
        <is>
          <t>BUEA</t>
        </is>
      </c>
      <c r="K145" s="9">
        <f>+B127</f>
        <v/>
      </c>
      <c r="L145" s="54" t="n"/>
      <c r="M145" s="54" t="n"/>
      <c r="N145" s="54" t="n"/>
    </row>
    <row r="146">
      <c r="J146" s="8" t="inlineStr">
        <is>
          <t>DOUALA-AXE LOURD</t>
        </is>
      </c>
      <c r="K146" s="9">
        <f>+B128</f>
        <v/>
      </c>
      <c r="L146" s="54" t="n"/>
      <c r="M146" s="54" t="n"/>
      <c r="N146" s="54" t="n"/>
    </row>
    <row r="147">
      <c r="J147" s="8" t="inlineStr">
        <is>
          <t>DOUALA-SIEGE</t>
        </is>
      </c>
      <c r="K147" s="9">
        <f>+B129</f>
        <v/>
      </c>
      <c r="L147" s="54" t="n"/>
      <c r="M147" s="54" t="n"/>
      <c r="N147" s="54" t="n"/>
    </row>
    <row r="148">
      <c r="J148" s="8" t="inlineStr">
        <is>
          <t>DOUALA-PK11</t>
        </is>
      </c>
      <c r="K148" s="9">
        <f>+B130</f>
        <v/>
      </c>
      <c r="L148" s="52" t="n"/>
      <c r="M148" s="52" t="n"/>
      <c r="N148" s="52" t="n"/>
    </row>
    <row r="149">
      <c r="J149" s="8" t="inlineStr">
        <is>
          <t>Total</t>
        </is>
      </c>
      <c r="K149" s="11">
        <f>SUM(K135:K148)</f>
        <v/>
      </c>
      <c r="L149" s="11" t="n"/>
      <c r="M149" s="11">
        <f>SUM(M135:M148)</f>
        <v/>
      </c>
      <c r="N149" s="10">
        <f>+M149/K149</f>
        <v/>
      </c>
    </row>
    <row r="150"/>
    <row r="151"/>
    <row r="152"/>
    <row r="153"/>
    <row r="154"/>
    <row r="155"/>
    <row r="156"/>
    <row r="157"/>
    <row r="158"/>
    <row r="159"/>
    <row r="160">
      <c r="B160" s="4" t="inlineStr">
        <is>
          <t>,,,,,,,,,,</t>
        </is>
      </c>
    </row>
  </sheetData>
  <mergeCells count="60">
    <mergeCell ref="A79:A80"/>
    <mergeCell ref="M105:M107"/>
    <mergeCell ref="M136:M140"/>
    <mergeCell ref="L69:L71"/>
    <mergeCell ref="N29:N31"/>
    <mergeCell ref="L135:L140"/>
    <mergeCell ref="N69:N71"/>
    <mergeCell ref="B115:C115"/>
    <mergeCell ref="L97:L98"/>
    <mergeCell ref="L72:L76"/>
    <mergeCell ref="M72:M76"/>
    <mergeCell ref="L133:L134"/>
    <mergeCell ref="M141:M143"/>
    <mergeCell ref="L144:L148"/>
    <mergeCell ref="L105:L107"/>
    <mergeCell ref="B2:C2"/>
    <mergeCell ref="B79:C79"/>
    <mergeCell ref="M24:M28"/>
    <mergeCell ref="M100:M104"/>
    <mergeCell ref="M29:M31"/>
    <mergeCell ref="B42:C42"/>
    <mergeCell ref="L108:L112"/>
    <mergeCell ref="N108:N112"/>
    <mergeCell ref="F42:G42"/>
    <mergeCell ref="A2:A3"/>
    <mergeCell ref="M32:M36"/>
    <mergeCell ref="N24:N28"/>
    <mergeCell ref="F79:G79"/>
    <mergeCell ref="J133:J134"/>
    <mergeCell ref="F2:G2"/>
    <mergeCell ref="L23:L28"/>
    <mergeCell ref="M21:N21"/>
    <mergeCell ref="N144:N148"/>
    <mergeCell ref="A42:A43"/>
    <mergeCell ref="M133:N133"/>
    <mergeCell ref="N100:N104"/>
    <mergeCell ref="M64:M68"/>
    <mergeCell ref="J21:J22"/>
    <mergeCell ref="F115:G115"/>
    <mergeCell ref="L32:L36"/>
    <mergeCell ref="L21:L22"/>
    <mergeCell ref="L63:L68"/>
    <mergeCell ref="N32:N36"/>
    <mergeCell ref="M61:N61"/>
    <mergeCell ref="A115:A116"/>
    <mergeCell ref="N141:N143"/>
    <mergeCell ref="M97:N97"/>
    <mergeCell ref="N105:N107"/>
    <mergeCell ref="J61:J62"/>
    <mergeCell ref="M144:M148"/>
    <mergeCell ref="L61:L62"/>
    <mergeCell ref="M69:M71"/>
    <mergeCell ref="N72:N76"/>
    <mergeCell ref="J97:J98"/>
    <mergeCell ref="L99:L104"/>
    <mergeCell ref="N64:N68"/>
    <mergeCell ref="L29:L31"/>
    <mergeCell ref="M108:M112"/>
    <mergeCell ref="L141:L143"/>
    <mergeCell ref="N136:N14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R55"/>
  <sheetViews>
    <sheetView topLeftCell="H34" workbookViewId="0">
      <selection activeCell="N46" sqref="N46:N54"/>
    </sheetView>
  </sheetViews>
  <sheetFormatPr baseColWidth="10" defaultRowHeight="15"/>
  <cols>
    <col width="50.28515625" customWidth="1" min="1" max="1"/>
    <col width="19.28515625" bestFit="1" customWidth="1" min="2" max="2"/>
    <col width="19.28515625" bestFit="1" customWidth="1" min="4" max="4"/>
    <col width="19" customWidth="1" min="6" max="6"/>
    <col width="12.28515625" bestFit="1" customWidth="1" min="10" max="10"/>
    <col width="48.28515625" customWidth="1" min="11" max="11"/>
    <col width="20.42578125" customWidth="1" min="12" max="12"/>
    <col width="10.7109375" customWidth="1" min="13" max="13"/>
    <col width="21.140625" customWidth="1" min="14" max="14"/>
    <col width="18.85546875" customWidth="1" min="16" max="16"/>
    <col width="12" customWidth="1" min="17" max="17"/>
  </cols>
  <sheetData>
    <row r="1"/>
    <row r="2" customFormat="1" s="4">
      <c r="A2" s="6" t="inlineStr">
        <is>
          <t>RUBRIQUES</t>
        </is>
      </c>
      <c r="B2" s="50" t="n">
        <v>45291</v>
      </c>
      <c r="C2" s="51" t="n"/>
      <c r="D2" s="2" t="n">
        <v>44926</v>
      </c>
      <c r="E2" s="3" t="n"/>
      <c r="F2" s="6" t="inlineStr">
        <is>
          <t>Variation</t>
        </is>
      </c>
      <c r="G2" s="51" t="n"/>
    </row>
    <row r="3" customFormat="1" s="4">
      <c r="A3" s="52" t="n"/>
      <c r="B3" s="47" t="inlineStr">
        <is>
          <t>En FCFA</t>
        </is>
      </c>
      <c r="C3" s="5" t="inlineStr">
        <is>
          <t>%</t>
        </is>
      </c>
      <c r="D3" s="47" t="inlineStr">
        <is>
          <t>En FCFA</t>
        </is>
      </c>
      <c r="E3" s="5" t="inlineStr">
        <is>
          <t>%</t>
        </is>
      </c>
      <c r="F3" s="6" t="inlineStr">
        <is>
          <t>En Valeur</t>
        </is>
      </c>
      <c r="G3" s="7" t="inlineStr">
        <is>
          <t>En %</t>
        </is>
      </c>
    </row>
    <row r="4" customFormat="1" s="4">
      <c r="A4" s="8" t="inlineStr">
        <is>
          <t>VENTES TOURTEAU SOJA</t>
        </is>
      </c>
      <c r="B4" s="9" t="n">
        <v>16611862145</v>
      </c>
      <c r="C4" s="10">
        <f>+B4/B12</f>
        <v/>
      </c>
      <c r="D4" s="9" t="n">
        <v>18923847022</v>
      </c>
      <c r="E4" s="10">
        <f>+D4/D12</f>
        <v/>
      </c>
      <c r="F4" s="9">
        <f>+B4-D4</f>
        <v/>
      </c>
      <c r="G4" s="10">
        <f>+F4/D4</f>
        <v/>
      </c>
    </row>
    <row r="5" customFormat="1" s="4">
      <c r="A5" s="8" t="inlineStr">
        <is>
          <t>VENTES INGREDIENTS</t>
        </is>
      </c>
      <c r="B5" s="9" t="n">
        <v>1150951850</v>
      </c>
      <c r="C5" s="10">
        <f>+B5/B12</f>
        <v/>
      </c>
      <c r="D5" s="9" t="n">
        <v>1885497539</v>
      </c>
      <c r="E5" s="10">
        <f>+D5/D12</f>
        <v/>
      </c>
      <c r="F5" s="9">
        <f>+B5-D5</f>
        <v/>
      </c>
      <c r="G5" s="10">
        <f>+F5/D5</f>
        <v/>
      </c>
    </row>
    <row r="6" customFormat="1" s="4">
      <c r="A6" s="8" t="inlineStr">
        <is>
          <t>VENTES MATERIEL ELEVAGE</t>
        </is>
      </c>
      <c r="B6" s="9" t="n">
        <v>410118000</v>
      </c>
      <c r="C6" s="10">
        <f>+B6/B12</f>
        <v/>
      </c>
      <c r="D6" s="9" t="n">
        <v>363744748</v>
      </c>
      <c r="E6" s="10">
        <f>+D6/D12</f>
        <v/>
      </c>
      <c r="F6" s="9">
        <f>+B6-D6</f>
        <v/>
      </c>
      <c r="G6" s="10">
        <f>+F6/D6</f>
        <v/>
      </c>
    </row>
    <row r="7" customFormat="1" s="4">
      <c r="A7" s="8" t="inlineStr">
        <is>
          <t>ALIMENTS POISSON &amp; CHICK &amp; PIGLET BOOSTER</t>
        </is>
      </c>
      <c r="B7" s="9" t="n">
        <v>847631620</v>
      </c>
      <c r="C7" s="10">
        <f>+B7/B12</f>
        <v/>
      </c>
      <c r="D7" s="9" t="n">
        <v>661239584</v>
      </c>
      <c r="E7" s="10">
        <f>+D7/D12</f>
        <v/>
      </c>
      <c r="F7" s="9">
        <f>+B7-D7</f>
        <v/>
      </c>
      <c r="G7" s="10">
        <f>+F7/D7</f>
        <v/>
      </c>
    </row>
    <row r="8" customFormat="1" s="4">
      <c r="A8" s="8" t="inlineStr">
        <is>
          <t>VENTES CONCENTRES</t>
        </is>
      </c>
      <c r="B8" s="9" t="n">
        <v>9944166984</v>
      </c>
      <c r="C8" s="10">
        <f>+B8/B12</f>
        <v/>
      </c>
      <c r="D8" s="9" t="n">
        <v>8717715871</v>
      </c>
      <c r="E8" s="10">
        <f>+D8/D12</f>
        <v/>
      </c>
      <c r="F8" s="9">
        <f>+B8-D8</f>
        <v/>
      </c>
      <c r="G8" s="10">
        <f>+F8/D8</f>
        <v/>
      </c>
    </row>
    <row r="9" customFormat="1" s="4">
      <c r="A9" s="8" t="inlineStr">
        <is>
          <t>VENTES DIVERSES</t>
        </is>
      </c>
      <c r="B9" s="9" t="n">
        <v>60578173</v>
      </c>
      <c r="C9" s="10">
        <f>+B9/B12</f>
        <v/>
      </c>
      <c r="D9" s="9" t="n">
        <v>43679813</v>
      </c>
      <c r="E9" s="10">
        <f>+D9/D12</f>
        <v/>
      </c>
      <c r="F9" s="9">
        <f>+B9-D9</f>
        <v/>
      </c>
      <c r="G9" s="10">
        <f>+F9/D9</f>
        <v/>
      </c>
    </row>
    <row r="10" customFormat="1" s="4">
      <c r="A10" s="8" t="inlineStr">
        <is>
          <t>PRODUITS ACCESSOIRES</t>
        </is>
      </c>
      <c r="B10" s="9" t="n">
        <v>1365000</v>
      </c>
      <c r="C10" s="10">
        <f>+B10/B12</f>
        <v/>
      </c>
      <c r="D10" s="9" t="n">
        <v>4392150</v>
      </c>
      <c r="E10" s="10">
        <f>+D10/D12</f>
        <v/>
      </c>
      <c r="F10" s="9">
        <f>+B10-D10</f>
        <v/>
      </c>
      <c r="G10" s="10">
        <f>+F10/D10</f>
        <v/>
      </c>
    </row>
    <row r="11" customFormat="1" s="4">
      <c r="A11" s="8" t="n"/>
      <c r="B11" s="9" t="n"/>
      <c r="C11" s="10" t="n"/>
      <c r="D11" s="9" t="n"/>
      <c r="E11" s="10" t="n"/>
      <c r="F11" s="9" t="n"/>
      <c r="G11" s="10" t="n"/>
    </row>
    <row r="12" customFormat="1" s="4">
      <c r="A12" s="8" t="inlineStr">
        <is>
          <t>Total</t>
        </is>
      </c>
      <c r="B12" s="11">
        <f>SUM(B4:B11)</f>
        <v/>
      </c>
      <c r="C12" s="5">
        <f>SUM(C4:C11)</f>
        <v/>
      </c>
      <c r="D12" s="11">
        <f>SUM(D4:D11)</f>
        <v/>
      </c>
      <c r="E12" s="5">
        <f>SUM(E4:E11)</f>
        <v/>
      </c>
      <c r="F12" s="11">
        <f>SUM(F4:F11)</f>
        <v/>
      </c>
      <c r="G12" s="10">
        <f>+F12/D12</f>
        <v/>
      </c>
    </row>
    <row r="13"/>
    <row r="14"/>
    <row r="15"/>
    <row r="16"/>
    <row r="17">
      <c r="K17" s="6" t="inlineStr">
        <is>
          <t>RUBRIQUES</t>
        </is>
      </c>
      <c r="L17" s="50" t="n">
        <v>45657</v>
      </c>
      <c r="M17" s="51" t="n"/>
      <c r="N17" s="2" t="n">
        <v>45291</v>
      </c>
      <c r="O17" s="3" t="n"/>
      <c r="P17" s="6" t="inlineStr">
        <is>
          <t>Variation</t>
        </is>
      </c>
      <c r="Q17" s="51" t="n"/>
    </row>
    <row r="18">
      <c r="K18" s="52" t="n"/>
      <c r="L18" s="47" t="inlineStr">
        <is>
          <t>En FCFA</t>
        </is>
      </c>
      <c r="M18" s="5" t="inlineStr">
        <is>
          <t>%</t>
        </is>
      </c>
      <c r="N18" s="47" t="inlineStr">
        <is>
          <t>En FCFA</t>
        </is>
      </c>
      <c r="O18" s="5" t="inlineStr">
        <is>
          <t>%</t>
        </is>
      </c>
      <c r="P18" s="6" t="inlineStr">
        <is>
          <t>En Valeur</t>
        </is>
      </c>
      <c r="Q18" s="7" t="inlineStr">
        <is>
          <t>En %</t>
        </is>
      </c>
      <c r="R18" s="18" t="n"/>
    </row>
    <row r="19">
      <c r="K19" s="17" t="inlineStr">
        <is>
          <t>VENTES TOURTEAU SOJA</t>
        </is>
      </c>
      <c r="L19" s="19" t="n">
        <v>15715812976</v>
      </c>
      <c r="M19" s="14">
        <f>+L19/L27</f>
        <v/>
      </c>
      <c r="N19" s="19" t="n">
        <v>16611862145</v>
      </c>
      <c r="O19" s="14">
        <f>+N19/N27</f>
        <v/>
      </c>
      <c r="P19" s="19">
        <f>+L19-N19</f>
        <v/>
      </c>
      <c r="Q19" s="14">
        <f>+P19/N19</f>
        <v/>
      </c>
    </row>
    <row r="20">
      <c r="K20" s="17" t="inlineStr">
        <is>
          <t>VENTES INGREDIENTS</t>
        </is>
      </c>
      <c r="L20" s="19" t="n">
        <v>1128184993</v>
      </c>
      <c r="M20" s="14">
        <f>+L20/L27</f>
        <v/>
      </c>
      <c r="N20" s="19" t="n">
        <v>1150951850</v>
      </c>
      <c r="O20" s="14">
        <f>+N20/N27</f>
        <v/>
      </c>
      <c r="P20" s="19">
        <f>+L20-N20</f>
        <v/>
      </c>
      <c r="Q20" s="14">
        <f>+P20/N20</f>
        <v/>
      </c>
    </row>
    <row r="21">
      <c r="K21" s="17" t="inlineStr">
        <is>
          <t>VENTES MATERIEL ELEVAGE</t>
        </is>
      </c>
      <c r="L21" s="19" t="n">
        <v>120562050</v>
      </c>
      <c r="M21" s="14">
        <f>+L21/L27</f>
        <v/>
      </c>
      <c r="N21" s="19" t="n">
        <v>410118000</v>
      </c>
      <c r="O21" s="14">
        <f>+N21/N27</f>
        <v/>
      </c>
      <c r="P21" s="19">
        <f>+L21-N21</f>
        <v/>
      </c>
      <c r="Q21" s="14">
        <f>+P21/N21</f>
        <v/>
      </c>
    </row>
    <row r="22">
      <c r="K22" s="17" t="inlineStr">
        <is>
          <t>ALIMENTS POISSON &amp; CHICK &amp; PIGLET BOOSTER</t>
        </is>
      </c>
      <c r="L22" s="19" t="n">
        <v>803270827</v>
      </c>
      <c r="M22" s="14">
        <f>+L22/L27</f>
        <v/>
      </c>
      <c r="N22" s="19">
        <f>+B7</f>
        <v/>
      </c>
      <c r="O22" s="14">
        <f>+N22/N27</f>
        <v/>
      </c>
      <c r="P22" s="19">
        <f>+L22-N22</f>
        <v/>
      </c>
      <c r="Q22" s="14">
        <f>+P22/N22</f>
        <v/>
      </c>
    </row>
    <row r="23">
      <c r="K23" s="17" t="inlineStr">
        <is>
          <t>VENTES CONCENTRES</t>
        </is>
      </c>
      <c r="L23" s="19">
        <f>9922324123-100754665</f>
        <v/>
      </c>
      <c r="M23" s="14">
        <f>+L23/L27</f>
        <v/>
      </c>
      <c r="N23" s="19" t="n">
        <v>9944166984</v>
      </c>
      <c r="O23" s="14">
        <f>+N23/N27</f>
        <v/>
      </c>
      <c r="P23" s="19">
        <f>+L23-N23</f>
        <v/>
      </c>
      <c r="Q23" s="14">
        <f>+P23/N23</f>
        <v/>
      </c>
    </row>
    <row r="24">
      <c r="K24" s="17" t="inlineStr">
        <is>
          <t>VENTES DIVERSES</t>
        </is>
      </c>
      <c r="L24" s="19" t="n">
        <v>82940700</v>
      </c>
      <c r="M24" s="14">
        <f>+L24/L27</f>
        <v/>
      </c>
      <c r="N24" s="19" t="n">
        <v>60578173</v>
      </c>
      <c r="O24" s="14">
        <f>+N24/N27</f>
        <v/>
      </c>
      <c r="P24" s="19">
        <f>+L24-N24</f>
        <v/>
      </c>
      <c r="Q24" s="14">
        <f>+P24/N24</f>
        <v/>
      </c>
    </row>
    <row r="25">
      <c r="K25" s="17" t="inlineStr">
        <is>
          <t>PRODUITS ACCESSOIRES</t>
        </is>
      </c>
      <c r="L25" s="19" t="n">
        <v>963000</v>
      </c>
      <c r="M25" s="14">
        <f>+L25/L27</f>
        <v/>
      </c>
      <c r="N25" s="19" t="n">
        <v>1365000</v>
      </c>
      <c r="O25" s="14">
        <f>+N25/N27</f>
        <v/>
      </c>
      <c r="P25" s="19">
        <f>+L25-N25</f>
        <v/>
      </c>
      <c r="Q25" s="14">
        <f>+P25/N25</f>
        <v/>
      </c>
    </row>
    <row r="26">
      <c r="K26" s="17" t="inlineStr">
        <is>
          <t>MAIS</t>
        </is>
      </c>
      <c r="L26" s="19" t="n">
        <v>666665690</v>
      </c>
      <c r="M26" s="14">
        <f>+L26/L27</f>
        <v/>
      </c>
      <c r="N26" s="19" t="n"/>
      <c r="O26" s="14" t="n"/>
      <c r="P26" s="19" t="n"/>
      <c r="Q26" s="14" t="n"/>
      <c r="R26" s="18" t="n"/>
    </row>
    <row r="27">
      <c r="K27" s="17" t="inlineStr">
        <is>
          <t>Total</t>
        </is>
      </c>
      <c r="L27" s="15">
        <f>SUM(L19:L26)</f>
        <v/>
      </c>
      <c r="M27" s="16">
        <f>SUM(M19:M26)</f>
        <v/>
      </c>
      <c r="N27" s="15">
        <f>SUM(N19:N26)</f>
        <v/>
      </c>
      <c r="O27" s="16">
        <f>SUM(O19:O26)</f>
        <v/>
      </c>
      <c r="P27" s="15">
        <f>SUM(P19:P26)</f>
        <v/>
      </c>
      <c r="Q27" s="14">
        <f>+P27/N27</f>
        <v/>
      </c>
    </row>
    <row r="28"/>
    <row r="29"/>
    <row r="30">
      <c r="A30" s="6" t="inlineStr">
        <is>
          <t>RUBRIQUES</t>
        </is>
      </c>
      <c r="B30" s="50" t="n">
        <v>46022</v>
      </c>
      <c r="C30" s="51" t="n"/>
      <c r="D30" s="2" t="n">
        <v>45657</v>
      </c>
      <c r="E30" s="3" t="n"/>
      <c r="F30" s="6" t="inlineStr">
        <is>
          <t>Variation</t>
        </is>
      </c>
      <c r="G30" s="51" t="n"/>
    </row>
    <row r="31">
      <c r="A31" s="52" t="n"/>
      <c r="B31" s="47" t="inlineStr">
        <is>
          <t>En FCFA</t>
        </is>
      </c>
      <c r="C31" s="5" t="inlineStr">
        <is>
          <t>%</t>
        </is>
      </c>
      <c r="D31" s="47" t="inlineStr">
        <is>
          <t>En FCFA</t>
        </is>
      </c>
      <c r="E31" s="5" t="inlineStr">
        <is>
          <t>%</t>
        </is>
      </c>
      <c r="F31" s="6" t="inlineStr">
        <is>
          <t>En Valeur</t>
        </is>
      </c>
      <c r="G31" s="7" t="inlineStr">
        <is>
          <t>En %</t>
        </is>
      </c>
    </row>
    <row r="32">
      <c r="A32" s="17" t="inlineStr">
        <is>
          <t>VENTES TOURTEAU SOJA</t>
        </is>
      </c>
      <c r="B32" s="19" t="n">
        <v>16631484065.66</v>
      </c>
      <c r="C32" s="14">
        <f>+B32/$B$41</f>
        <v/>
      </c>
      <c r="D32" s="19" t="n">
        <v>15715812976</v>
      </c>
      <c r="E32" s="14">
        <f>+D32/$D$41</f>
        <v/>
      </c>
      <c r="F32" s="19">
        <f>+B32-D32</f>
        <v/>
      </c>
      <c r="G32" s="14">
        <f>+F32/$D$32</f>
        <v/>
      </c>
    </row>
    <row r="33">
      <c r="A33" s="17" t="inlineStr">
        <is>
          <t>VENTES INGREDIENTS</t>
        </is>
      </c>
      <c r="B33" s="19" t="n">
        <v>1447158682</v>
      </c>
      <c r="C33" s="14">
        <f>+B33/$B$41</f>
        <v/>
      </c>
      <c r="D33" s="19" t="n">
        <v>1128184993</v>
      </c>
      <c r="E33" s="14">
        <f>+D33/$D$41</f>
        <v/>
      </c>
      <c r="F33" s="19">
        <f>+B33-D33</f>
        <v/>
      </c>
      <c r="G33" s="14">
        <f>+F33/$D$32</f>
        <v/>
      </c>
    </row>
    <row r="34">
      <c r="A34" s="17" t="inlineStr">
        <is>
          <t>VENTES MATERIEL ELEVAGE</t>
        </is>
      </c>
      <c r="B34" s="19" t="n">
        <v>237684210</v>
      </c>
      <c r="C34" s="14">
        <f>+B34/$B$41</f>
        <v/>
      </c>
      <c r="D34" s="19" t="n">
        <v>120562050</v>
      </c>
      <c r="E34" s="14">
        <f>+D34/$D$41</f>
        <v/>
      </c>
      <c r="F34" s="19">
        <f>+B34-D34</f>
        <v/>
      </c>
      <c r="G34" s="14">
        <f>+F34/$D$32</f>
        <v/>
      </c>
    </row>
    <row r="35">
      <c r="A35" s="17" t="inlineStr">
        <is>
          <t>ALIMENTS POISSON &amp; CHICK &amp; PIGLET BOOSTER</t>
        </is>
      </c>
      <c r="B35" s="19" t="n">
        <v>671134595</v>
      </c>
      <c r="C35" s="14">
        <f>+B35/$B$41</f>
        <v/>
      </c>
      <c r="D35" s="19" t="n">
        <v>803270827</v>
      </c>
      <c r="E35" s="14">
        <f>+D35/$D$41</f>
        <v/>
      </c>
      <c r="F35" s="19">
        <f>+B35-D35</f>
        <v/>
      </c>
      <c r="G35" s="14">
        <f>+F35/$D$32</f>
        <v/>
      </c>
    </row>
    <row r="36">
      <c r="A36" s="17" t="inlineStr">
        <is>
          <t>VENTES CONCENTRES</t>
        </is>
      </c>
      <c r="B36" s="19" t="n">
        <v>12571877115.98</v>
      </c>
      <c r="C36" s="14">
        <f>+B36/$B$41</f>
        <v/>
      </c>
      <c r="D36" s="19" t="n">
        <v>9821569458</v>
      </c>
      <c r="E36" s="14">
        <f>+D36/$D$41</f>
        <v/>
      </c>
      <c r="F36" s="19">
        <f>+B36-D36</f>
        <v/>
      </c>
      <c r="G36" s="14">
        <f>+F36/$D$32</f>
        <v/>
      </c>
      <c r="J36" s="13" t="n"/>
    </row>
    <row r="37">
      <c r="A37" s="17" t="inlineStr">
        <is>
          <t>VENTES DIVERSES</t>
        </is>
      </c>
      <c r="B37" s="19" t="n">
        <v>251725950</v>
      </c>
      <c r="C37" s="14">
        <f>+B37/$B$41</f>
        <v/>
      </c>
      <c r="D37" s="19" t="n">
        <v>82940700</v>
      </c>
      <c r="E37" s="14">
        <f>+D37/$D$41</f>
        <v/>
      </c>
      <c r="F37" s="19">
        <f>+B37-D37</f>
        <v/>
      </c>
      <c r="G37" s="14">
        <f>+F37/$D$32</f>
        <v/>
      </c>
    </row>
    <row r="38">
      <c r="A38" s="17" t="inlineStr">
        <is>
          <t>PRODUITS ACCESSOIRES</t>
        </is>
      </c>
      <c r="B38" s="19" t="n">
        <v>23521260</v>
      </c>
      <c r="C38" s="14">
        <f>+B38/$B$41</f>
        <v/>
      </c>
      <c r="D38" s="19" t="n">
        <v>963000</v>
      </c>
      <c r="E38" s="14">
        <f>+D38/$D$41</f>
        <v/>
      </c>
      <c r="F38" s="19">
        <f>+B38-D38</f>
        <v/>
      </c>
      <c r="G38" s="14">
        <f>+F38/$D$32</f>
        <v/>
      </c>
    </row>
    <row r="39">
      <c r="A39" s="17" t="inlineStr">
        <is>
          <t>ALVEOLES</t>
        </is>
      </c>
      <c r="B39" s="19" t="n">
        <v>970092520</v>
      </c>
      <c r="C39" s="14">
        <f>+B39/$B$41</f>
        <v/>
      </c>
      <c r="D39" s="19" t="n"/>
      <c r="E39" s="14">
        <f>+D39/$D$41</f>
        <v/>
      </c>
      <c r="F39" s="19">
        <f>+B39-D39</f>
        <v/>
      </c>
      <c r="G39" s="14">
        <f>+F39/$D$32</f>
        <v/>
      </c>
    </row>
    <row r="40">
      <c r="A40" s="17" t="inlineStr">
        <is>
          <t>MAIS</t>
        </is>
      </c>
      <c r="B40" s="19" t="n">
        <v>1055147646</v>
      </c>
      <c r="C40" s="14">
        <f>+B40/$B$41</f>
        <v/>
      </c>
      <c r="D40" s="19" t="n">
        <v>666665690</v>
      </c>
      <c r="E40" s="14">
        <f>+D40/$D$41</f>
        <v/>
      </c>
      <c r="F40" s="19">
        <f>+B40-D40</f>
        <v/>
      </c>
      <c r="G40" s="14">
        <f>+F40/$D$32</f>
        <v/>
      </c>
    </row>
    <row r="41">
      <c r="A41" s="17" t="inlineStr">
        <is>
          <t>Total</t>
        </is>
      </c>
      <c r="B41" s="15">
        <f>SUM(B32:B40)</f>
        <v/>
      </c>
      <c r="C41" s="16">
        <f>SUM(C32:C40)</f>
        <v/>
      </c>
      <c r="D41" s="15">
        <f>SUM(D32:D40)</f>
        <v/>
      </c>
      <c r="E41" s="16">
        <f>SUM(E32:E40)</f>
        <v/>
      </c>
      <c r="F41" s="15">
        <f>SUM(F32:F40)</f>
        <v/>
      </c>
      <c r="G41" s="14">
        <f>+F41/$D$32</f>
        <v/>
      </c>
    </row>
    <row r="42"/>
    <row r="43">
      <c r="B43" s="13" t="n"/>
      <c r="C43" s="13" t="n"/>
      <c r="L43" s="13" t="n"/>
    </row>
    <row r="44">
      <c r="K44" s="6" t="inlineStr">
        <is>
          <t>RUBRIQUES</t>
        </is>
      </c>
      <c r="L44" s="50" t="n">
        <v>46295</v>
      </c>
      <c r="M44" s="51" t="n"/>
      <c r="N44" s="2" t="n">
        <v>45930</v>
      </c>
      <c r="O44" s="3" t="n"/>
      <c r="P44" s="6" t="inlineStr">
        <is>
          <t>Variation</t>
        </is>
      </c>
      <c r="Q44" s="51" t="n"/>
    </row>
    <row r="45">
      <c r="B45" s="13" t="n"/>
      <c r="K45" s="52" t="n"/>
      <c r="L45" s="47" t="inlineStr">
        <is>
          <t>En FCFA</t>
        </is>
      </c>
      <c r="M45" s="5" t="inlineStr">
        <is>
          <t>%</t>
        </is>
      </c>
      <c r="N45" s="47" t="inlineStr">
        <is>
          <t>En FCFA</t>
        </is>
      </c>
      <c r="O45" s="5" t="inlineStr">
        <is>
          <t>%</t>
        </is>
      </c>
      <c r="P45" s="6" t="inlineStr">
        <is>
          <t>En Valeur</t>
        </is>
      </c>
      <c r="Q45" s="7" t="inlineStr">
        <is>
          <t>En %</t>
        </is>
      </c>
    </row>
    <row r="46">
      <c r="B46" s="13" t="n"/>
      <c r="K46" s="17" t="inlineStr">
        <is>
          <t>VENTES TOURTEAU SOJA</t>
        </is>
      </c>
      <c r="L46" s="19" t="n"/>
      <c r="M46" s="14">
        <f>+L46/L55</f>
        <v/>
      </c>
      <c r="N46" s="19" t="n"/>
      <c r="O46" s="14">
        <f>+N46/N55</f>
        <v/>
      </c>
      <c r="P46" s="19">
        <f>+L46-N46</f>
        <v/>
      </c>
      <c r="Q46" s="14">
        <f>+P46/N46</f>
        <v/>
      </c>
    </row>
    <row r="47">
      <c r="K47" s="17" t="inlineStr">
        <is>
          <t>VENTES INGREDIENTS</t>
        </is>
      </c>
      <c r="L47" s="19" t="n"/>
      <c r="M47" s="14">
        <f>+L47/L55</f>
        <v/>
      </c>
      <c r="N47" s="19" t="n"/>
      <c r="O47" s="14">
        <f>+N47/N55</f>
        <v/>
      </c>
      <c r="P47" s="19">
        <f>+L47-N47</f>
        <v/>
      </c>
      <c r="Q47" s="14">
        <f>+P47/N47</f>
        <v/>
      </c>
    </row>
    <row r="48">
      <c r="K48" s="17" t="inlineStr">
        <is>
          <t>VENTES MATERIEL ELEVAGE</t>
        </is>
      </c>
      <c r="L48" s="19" t="n"/>
      <c r="M48" s="14">
        <f>+L48/L55</f>
        <v/>
      </c>
      <c r="N48" s="19" t="n"/>
      <c r="O48" s="14">
        <f>+N48/N55</f>
        <v/>
      </c>
      <c r="P48" s="19">
        <f>+L48-N48</f>
        <v/>
      </c>
      <c r="Q48" s="14">
        <f>+P48/N48</f>
        <v/>
      </c>
    </row>
    <row r="49">
      <c r="K49" s="17" t="inlineStr">
        <is>
          <t>ALIMENTS POISSON &amp; CHICK &amp; PIGLET BOOSTER</t>
        </is>
      </c>
      <c r="L49" s="19" t="n"/>
      <c r="M49" s="14">
        <f>+L49/L55</f>
        <v/>
      </c>
      <c r="N49" s="19" t="n"/>
      <c r="O49" s="14">
        <f>+N49/N55</f>
        <v/>
      </c>
      <c r="P49" s="19">
        <f>+L49-N49</f>
        <v/>
      </c>
      <c r="Q49" s="14">
        <f>+P49/N49</f>
        <v/>
      </c>
    </row>
    <row r="50">
      <c r="K50" s="17" t="inlineStr">
        <is>
          <t>VENTES CONCENTRES</t>
        </is>
      </c>
      <c r="L50" s="19" t="n"/>
      <c r="M50" s="14">
        <f>+L50/L55</f>
        <v/>
      </c>
      <c r="N50" s="19" t="n"/>
      <c r="O50" s="14">
        <f>+N50/N55</f>
        <v/>
      </c>
      <c r="P50" s="19">
        <f>+L50-N50</f>
        <v/>
      </c>
      <c r="Q50" s="14">
        <f>+P50/N50</f>
        <v/>
      </c>
    </row>
    <row r="51">
      <c r="K51" s="17" t="inlineStr">
        <is>
          <t>VENTES DIVERSES</t>
        </is>
      </c>
      <c r="L51" s="19" t="n"/>
      <c r="M51" s="14">
        <f>+L51/L55</f>
        <v/>
      </c>
      <c r="N51" s="19" t="n"/>
      <c r="O51" s="14">
        <f>+N51/N55</f>
        <v/>
      </c>
      <c r="P51" s="19">
        <f>+L51-N51</f>
        <v/>
      </c>
      <c r="Q51" s="14">
        <f>+P51/N51</f>
        <v/>
      </c>
    </row>
    <row r="52">
      <c r="K52" s="17" t="inlineStr">
        <is>
          <t>PRODUITS ACCESSOIRES</t>
        </is>
      </c>
      <c r="L52" s="19" t="n"/>
      <c r="M52" s="14">
        <f>+L52/L55</f>
        <v/>
      </c>
      <c r="N52" s="19" t="n"/>
      <c r="O52" s="14">
        <f>+N52/N55</f>
        <v/>
      </c>
      <c r="P52" s="19">
        <f>+L52-N52</f>
        <v/>
      </c>
      <c r="Q52" s="14">
        <f>+P52/N52</f>
        <v/>
      </c>
    </row>
    <row r="53">
      <c r="K53" s="17" t="inlineStr">
        <is>
          <t>MAIS</t>
        </is>
      </c>
      <c r="L53" s="19" t="n"/>
      <c r="M53" s="14">
        <f>+L53/L55</f>
        <v/>
      </c>
      <c r="N53" s="19" t="n"/>
      <c r="O53" s="14">
        <f>+N53/N55</f>
        <v/>
      </c>
      <c r="P53" s="19">
        <f>+L53-N53</f>
        <v/>
      </c>
      <c r="Q53" s="14">
        <f>+P53/N53</f>
        <v/>
      </c>
    </row>
    <row r="54">
      <c r="K54" s="17" t="inlineStr">
        <is>
          <t>MAIS</t>
        </is>
      </c>
      <c r="L54" s="19" t="n"/>
      <c r="M54" s="14">
        <f>+L54/L55</f>
        <v/>
      </c>
      <c r="N54" s="19" t="n"/>
      <c r="O54" s="14">
        <f>+N54/N55</f>
        <v/>
      </c>
      <c r="P54" s="19">
        <f>+L54-N54</f>
        <v/>
      </c>
      <c r="Q54" s="14">
        <f>+P54/N54</f>
        <v/>
      </c>
    </row>
    <row r="55">
      <c r="K55" s="17" t="inlineStr">
        <is>
          <t>Total</t>
        </is>
      </c>
      <c r="L55" s="15">
        <f>SUM(L46:L54)</f>
        <v/>
      </c>
      <c r="M55" s="16">
        <f>SUM(M46:M54)</f>
        <v/>
      </c>
      <c r="N55" s="15">
        <f>SUM(N46:N54)</f>
        <v/>
      </c>
      <c r="O55" s="16">
        <f>SUM(O46:O54)</f>
        <v/>
      </c>
      <c r="P55" s="15">
        <f>SUM(P46:P54)</f>
        <v/>
      </c>
      <c r="Q55" s="14">
        <f>+P55/N55</f>
        <v/>
      </c>
    </row>
  </sheetData>
  <mergeCells count="12">
    <mergeCell ref="L17:M17"/>
    <mergeCell ref="F2:G2"/>
    <mergeCell ref="P17:Q17"/>
    <mergeCell ref="B2:C2"/>
    <mergeCell ref="K44:K45"/>
    <mergeCell ref="B30:C30"/>
    <mergeCell ref="F30:G30"/>
    <mergeCell ref="K17:K18"/>
    <mergeCell ref="A2:A3"/>
    <mergeCell ref="P44:Q44"/>
    <mergeCell ref="L44:M44"/>
    <mergeCell ref="A30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G77"/>
  <sheetViews>
    <sheetView topLeftCell="A13" workbookViewId="0">
      <selection activeCell="E24" sqref="E24:E29"/>
    </sheetView>
  </sheetViews>
  <sheetFormatPr baseColWidth="10" defaultRowHeight="15"/>
  <cols>
    <col width="38.140625" bestFit="1" customWidth="1" min="3" max="3"/>
    <col width="13.28515625" bestFit="1" customWidth="1" style="13" min="4" max="4"/>
  </cols>
  <sheetData>
    <row r="1">
      <c r="A1" s="23" t="n"/>
      <c r="C1" s="23" t="n"/>
      <c r="D1" s="22" t="n"/>
    </row>
    <row r="2">
      <c r="A2" s="23" t="n"/>
      <c r="C2" s="23" t="n"/>
      <c r="D2" s="22" t="n"/>
    </row>
    <row r="3">
      <c r="A3" s="23" t="n"/>
      <c r="C3" s="23" t="inlineStr">
        <is>
          <t>VENTES EN VOLUMES</t>
        </is>
      </c>
      <c r="D3" s="22" t="n"/>
    </row>
    <row r="4">
      <c r="A4" s="23" t="n"/>
      <c r="C4" s="23" t="n"/>
      <c r="D4" s="22" t="n"/>
    </row>
    <row r="5">
      <c r="A5" s="23" t="n"/>
      <c r="C5" s="31" t="inlineStr">
        <is>
          <t>RUBRIQUES</t>
        </is>
      </c>
      <c r="D5" s="30" t="n">
        <v>2024</v>
      </c>
      <c r="E5" s="29" t="n">
        <v>2023</v>
      </c>
      <c r="F5" s="29" t="inlineStr">
        <is>
          <t>VARIATION</t>
        </is>
      </c>
      <c r="G5" s="29" t="inlineStr">
        <is>
          <t>%</t>
        </is>
      </c>
    </row>
    <row r="6">
      <c r="A6" s="23" t="n"/>
      <c r="C6" s="27" t="inlineStr">
        <is>
          <t>VENTES TOURTEAU SOJA</t>
        </is>
      </c>
      <c r="D6" s="26" t="n">
        <v>36805</v>
      </c>
      <c r="E6" s="25" t="n">
        <v>33323</v>
      </c>
      <c r="F6" s="25" t="n">
        <v>3482</v>
      </c>
      <c r="G6" s="28" t="n">
        <v>0.1</v>
      </c>
    </row>
    <row r="7">
      <c r="A7" s="23" t="n"/>
      <c r="C7" s="27" t="inlineStr">
        <is>
          <t>VENTES INGREDIENTS</t>
        </is>
      </c>
      <c r="D7" s="26" t="n">
        <v>1089</v>
      </c>
      <c r="E7" s="25" t="n">
        <v>1039</v>
      </c>
      <c r="F7" s="25" t="n">
        <v>50</v>
      </c>
      <c r="G7" s="28" t="n">
        <v>0.05</v>
      </c>
    </row>
    <row r="8">
      <c r="A8" s="23" t="n"/>
      <c r="C8" s="27" t="inlineStr">
        <is>
          <t>VENTES MAIS</t>
        </is>
      </c>
      <c r="D8" s="26" t="n">
        <v>2712</v>
      </c>
      <c r="E8" s="25" t="n">
        <v>0</v>
      </c>
      <c r="F8" s="25" t="n">
        <v>2712</v>
      </c>
      <c r="G8" s="25" t="n"/>
    </row>
    <row r="9">
      <c r="A9" s="23" t="n"/>
      <c r="C9" s="27" t="inlineStr">
        <is>
          <t>VENTES ALIMENTS COMPLETS</t>
        </is>
      </c>
      <c r="D9" s="26" t="n">
        <v>616</v>
      </c>
      <c r="E9" s="25" t="n">
        <v>709</v>
      </c>
      <c r="F9" s="25" t="n">
        <v>-94</v>
      </c>
      <c r="G9" s="28" t="n">
        <v>-0.13</v>
      </c>
    </row>
    <row r="10">
      <c r="A10" s="23" t="n"/>
      <c r="C10" s="27" t="inlineStr">
        <is>
          <t>VENTES CONCENTRES</t>
        </is>
      </c>
      <c r="D10" s="26" t="n">
        <v>14957</v>
      </c>
      <c r="E10" s="25" t="n">
        <v>14963</v>
      </c>
      <c r="F10" s="25" t="n">
        <v>-6</v>
      </c>
      <c r="G10" s="28" t="n">
        <v>0</v>
      </c>
    </row>
    <row r="11">
      <c r="A11" s="23" t="n"/>
      <c r="C11" s="27" t="inlineStr">
        <is>
          <t>VENTES DIVERSES</t>
        </is>
      </c>
      <c r="D11" s="26" t="n">
        <v>12</v>
      </c>
      <c r="E11" s="25" t="n">
        <v>21</v>
      </c>
      <c r="F11" s="25" t="n">
        <v>-9</v>
      </c>
      <c r="G11" s="28" t="n">
        <v>-0.41</v>
      </c>
    </row>
    <row r="12">
      <c r="A12" s="23" t="n"/>
      <c r="C12" s="27" t="inlineStr">
        <is>
          <t>TOTAL</t>
        </is>
      </c>
      <c r="D12" s="26">
        <f>SUM(D6:D11)</f>
        <v/>
      </c>
      <c r="E12" s="25">
        <f>SUM(E6:E11)</f>
        <v/>
      </c>
      <c r="F12" s="25">
        <f>SUM(F6:F11)</f>
        <v/>
      </c>
      <c r="G12" s="24">
        <f>SUM(G6:G11)</f>
        <v/>
      </c>
    </row>
    <row r="13">
      <c r="A13" s="23" t="n"/>
      <c r="C13" s="23" t="n"/>
      <c r="D13" s="22" t="n"/>
    </row>
    <row r="14">
      <c r="A14" s="23" t="n"/>
      <c r="C14" s="31" t="inlineStr">
        <is>
          <t>RUBRIQUES</t>
        </is>
      </c>
      <c r="D14" s="30" t="n">
        <v>2025</v>
      </c>
      <c r="E14" s="29" t="n">
        <v>2024</v>
      </c>
      <c r="F14" s="29" t="inlineStr">
        <is>
          <t>VARIATION</t>
        </is>
      </c>
      <c r="G14" s="29" t="inlineStr">
        <is>
          <t>%</t>
        </is>
      </c>
    </row>
    <row r="15">
      <c r="A15" s="23" t="n"/>
      <c r="C15" s="27" t="inlineStr">
        <is>
          <t>VENTES TOURTEAU SOJA</t>
        </is>
      </c>
      <c r="D15" s="26" t="n">
        <v>49108.93200000074</v>
      </c>
      <c r="E15" s="25" t="n">
        <v>36805</v>
      </c>
      <c r="F15" s="34">
        <f>+D15-E15</f>
        <v/>
      </c>
      <c r="G15" s="28">
        <f>+D15/E15-1</f>
        <v/>
      </c>
    </row>
    <row r="16">
      <c r="A16" s="23" t="n"/>
      <c r="C16" s="27" t="inlineStr">
        <is>
          <t>VENTES INGREDIENTS</t>
        </is>
      </c>
      <c r="D16" s="26" t="n">
        <v>1077.757799999758</v>
      </c>
      <c r="E16" s="25" t="n">
        <v>1089</v>
      </c>
      <c r="F16" s="34">
        <f>+D16-E16</f>
        <v/>
      </c>
      <c r="G16" s="28">
        <f>+D16/E16-1</f>
        <v/>
      </c>
    </row>
    <row r="17">
      <c r="A17" s="23" t="n"/>
      <c r="C17" s="27" t="inlineStr">
        <is>
          <t>VENTES MAIS</t>
        </is>
      </c>
      <c r="D17" s="26" t="n">
        <v>4154.15</v>
      </c>
      <c r="E17" s="25" t="n">
        <v>2712</v>
      </c>
      <c r="F17" s="34">
        <f>+D17-E17</f>
        <v/>
      </c>
      <c r="G17" s="25">
        <f>+D17/E17-1</f>
        <v/>
      </c>
    </row>
    <row r="18">
      <c r="A18" s="23" t="n"/>
      <c r="C18" s="27" t="inlineStr">
        <is>
          <t>VENTES ALIMENTS COMPLETS</t>
        </is>
      </c>
      <c r="D18" s="26" t="n">
        <v>772.8199999999078</v>
      </c>
      <c r="E18" s="25" t="n">
        <v>616</v>
      </c>
      <c r="F18" s="34">
        <f>+D18-E18</f>
        <v/>
      </c>
      <c r="G18" s="28">
        <f>+D18/E18-1</f>
        <v/>
      </c>
    </row>
    <row r="19">
      <c r="A19" s="23" t="n"/>
      <c r="C19" s="27" t="inlineStr">
        <is>
          <t>VENTES CONCENTRES</t>
        </is>
      </c>
      <c r="D19" s="26" t="n">
        <v>18974.68799999663</v>
      </c>
      <c r="E19" s="25" t="n">
        <v>14957</v>
      </c>
      <c r="F19" s="34">
        <f>+D19-E19</f>
        <v/>
      </c>
      <c r="G19" s="28">
        <f>+D19/E19-1</f>
        <v/>
      </c>
    </row>
    <row r="20">
      <c r="A20" s="23" t="n"/>
      <c r="C20" s="27" t="inlineStr">
        <is>
          <t>VENTES DIVERSES</t>
        </is>
      </c>
      <c r="D20" s="26" t="n">
        <v>127.1800000000022</v>
      </c>
      <c r="E20" s="25" t="n">
        <v>12</v>
      </c>
      <c r="F20" s="34">
        <f>+D20-E20</f>
        <v/>
      </c>
      <c r="G20" s="28">
        <f>+D20/E20-1</f>
        <v/>
      </c>
    </row>
    <row r="21">
      <c r="A21" s="23" t="n"/>
      <c r="C21" s="27" t="inlineStr">
        <is>
          <t>TOTAL</t>
        </is>
      </c>
      <c r="D21" s="26">
        <f>SUM(D15:D20)</f>
        <v/>
      </c>
      <c r="E21" s="26">
        <f>SUM(E15:E20)</f>
        <v/>
      </c>
      <c r="F21" s="35">
        <f>SUM(F15:F20)</f>
        <v/>
      </c>
      <c r="G21" s="24">
        <f>+D21/E21-1</f>
        <v/>
      </c>
    </row>
    <row r="22">
      <c r="A22" s="23" t="n"/>
      <c r="C22" s="23" t="n"/>
      <c r="D22" s="22" t="n"/>
    </row>
    <row r="23">
      <c r="A23" s="23" t="n"/>
      <c r="C23" s="31" t="inlineStr">
        <is>
          <t>RUBRIQUES</t>
        </is>
      </c>
      <c r="D23" s="30" t="n">
        <v>2026</v>
      </c>
      <c r="E23" s="29" t="n">
        <v>2025</v>
      </c>
      <c r="F23" s="29" t="inlineStr">
        <is>
          <t>VARIATION</t>
        </is>
      </c>
      <c r="G23" s="29" t="inlineStr">
        <is>
          <t>%</t>
        </is>
      </c>
    </row>
    <row r="24">
      <c r="A24" s="23" t="n"/>
      <c r="C24" s="27" t="inlineStr">
        <is>
          <t>VENTES TOURTEAU SOJA</t>
        </is>
      </c>
      <c r="D24" s="26" t="n"/>
      <c r="E24" s="25" t="n"/>
      <c r="F24" s="34">
        <f>+D24-E24</f>
        <v/>
      </c>
      <c r="G24" s="28">
        <f>+D24/E24-1</f>
        <v/>
      </c>
    </row>
    <row r="25">
      <c r="A25" s="23" t="n"/>
      <c r="C25" s="27" t="inlineStr">
        <is>
          <t>VENTES INGREDIENTS</t>
        </is>
      </c>
      <c r="D25" s="26" t="n"/>
      <c r="E25" s="25" t="n"/>
      <c r="F25" s="34">
        <f>+D25-E25</f>
        <v/>
      </c>
      <c r="G25" s="28">
        <f>+D25/E25-1</f>
        <v/>
      </c>
    </row>
    <row r="26">
      <c r="A26" s="23" t="n"/>
      <c r="C26" s="27" t="inlineStr">
        <is>
          <t>VENTES MAIS</t>
        </is>
      </c>
      <c r="D26" s="26" t="n"/>
      <c r="E26" s="25" t="n"/>
      <c r="F26" s="34">
        <f>+D26-E26</f>
        <v/>
      </c>
      <c r="G26" s="25">
        <f>+D26/E26-1</f>
        <v/>
      </c>
    </row>
    <row r="27">
      <c r="A27" s="23" t="n"/>
      <c r="C27" s="27" t="inlineStr">
        <is>
          <t>VENTES ALIMENTS COMPLETS</t>
        </is>
      </c>
      <c r="D27" s="26" t="n"/>
      <c r="E27" s="25" t="n"/>
      <c r="F27" s="34">
        <f>+D27-E27</f>
        <v/>
      </c>
      <c r="G27" s="28">
        <f>+D27/E27-1</f>
        <v/>
      </c>
    </row>
    <row r="28">
      <c r="A28" s="23" t="n"/>
      <c r="C28" s="27" t="inlineStr">
        <is>
          <t>VENTES CONCENTRES</t>
        </is>
      </c>
      <c r="D28" s="26" t="n"/>
      <c r="E28" s="25" t="n"/>
      <c r="F28" s="34">
        <f>+D28-E28</f>
        <v/>
      </c>
      <c r="G28" s="28">
        <f>+D28/E28-1</f>
        <v/>
      </c>
    </row>
    <row r="29">
      <c r="A29" s="23" t="n"/>
      <c r="C29" s="27" t="inlineStr">
        <is>
          <t>VENTES DIVERSES</t>
        </is>
      </c>
      <c r="D29" s="26" t="n"/>
      <c r="E29" s="25" t="n"/>
      <c r="F29" s="34">
        <f>+D29-E29</f>
        <v/>
      </c>
      <c r="G29" s="28">
        <f>+D29/E29-1</f>
        <v/>
      </c>
    </row>
    <row r="30">
      <c r="A30" s="23" t="n"/>
      <c r="C30" s="27" t="inlineStr">
        <is>
          <t>TOTAL</t>
        </is>
      </c>
      <c r="D30" s="26">
        <f>SUM(D24:D29)</f>
        <v/>
      </c>
      <c r="E30" s="26">
        <f>SUM(E24:E29)</f>
        <v/>
      </c>
      <c r="F30" s="35">
        <f>SUM(F24:F29)</f>
        <v/>
      </c>
      <c r="G30" s="24">
        <f>+D30/E30-1</f>
        <v/>
      </c>
    </row>
    <row r="31">
      <c r="A31" s="23" t="n"/>
      <c r="C31" s="23" t="n"/>
      <c r="D31" s="22" t="n"/>
    </row>
    <row r="32">
      <c r="A32" s="23" t="n"/>
      <c r="C32" s="23" t="n"/>
      <c r="D32" s="22" t="n"/>
    </row>
    <row r="33">
      <c r="A33" s="23" t="n"/>
      <c r="C33" s="23" t="n"/>
      <c r="D33" s="22" t="n"/>
    </row>
    <row r="34">
      <c r="A34" s="23" t="n"/>
      <c r="C34" s="23" t="n"/>
      <c r="D34" s="22" t="n"/>
    </row>
    <row r="35">
      <c r="A35" s="23" t="n"/>
      <c r="C35" s="23" t="n"/>
      <c r="D35" s="22" t="n"/>
    </row>
    <row r="36">
      <c r="A36" s="23" t="n"/>
      <c r="C36" s="23" t="n"/>
      <c r="D36" s="22" t="n"/>
    </row>
    <row r="37">
      <c r="A37" s="23" t="n"/>
      <c r="C37" s="23" t="n"/>
      <c r="D37" s="22" t="n"/>
    </row>
    <row r="38">
      <c r="A38" s="23" t="n"/>
      <c r="C38" s="23" t="n"/>
      <c r="D38" s="22" t="n"/>
    </row>
    <row r="39">
      <c r="A39" s="23" t="n"/>
      <c r="C39" s="23" t="n"/>
      <c r="D39" s="22" t="n"/>
    </row>
    <row r="40">
      <c r="A40" s="23" t="n"/>
      <c r="C40" s="23" t="n"/>
      <c r="D40" s="22" t="n"/>
    </row>
    <row r="41">
      <c r="A41" s="23" t="n"/>
      <c r="C41" s="23" t="n"/>
      <c r="D41" s="22" t="n"/>
    </row>
    <row r="42"/>
    <row r="43">
      <c r="A43" s="23" t="n"/>
      <c r="C43" s="23" t="n"/>
      <c r="D43" s="22" t="n"/>
    </row>
    <row r="44">
      <c r="A44" s="23" t="n"/>
      <c r="C44" s="23" t="n"/>
      <c r="D44" s="22" t="n"/>
    </row>
    <row r="45">
      <c r="A45" s="23" t="n"/>
      <c r="C45" s="23" t="n"/>
      <c r="D45" s="22" t="n"/>
    </row>
    <row r="46">
      <c r="A46" s="23" t="n"/>
      <c r="C46" s="23" t="n"/>
      <c r="D46" s="22" t="n"/>
    </row>
    <row r="47">
      <c r="A47" s="23" t="n"/>
      <c r="C47" s="23" t="n"/>
      <c r="D47" s="22" t="n"/>
    </row>
    <row r="48">
      <c r="A48" s="23" t="n"/>
      <c r="C48" s="23" t="n"/>
      <c r="D48" s="22" t="n"/>
    </row>
    <row r="49"/>
    <row r="50">
      <c r="A50" s="23" t="n"/>
      <c r="C50" s="23" t="n"/>
      <c r="D50" s="22" t="n"/>
    </row>
    <row r="51"/>
    <row r="52">
      <c r="A52" s="23" t="n"/>
      <c r="C52" s="23" t="n"/>
      <c r="D52" s="22" t="n"/>
    </row>
    <row r="53">
      <c r="A53" s="23" t="n"/>
      <c r="C53" s="23" t="n"/>
      <c r="D53" s="22" t="n"/>
    </row>
    <row r="54">
      <c r="A54" s="23" t="n"/>
      <c r="C54" s="23" t="n"/>
      <c r="D54" s="22" t="n"/>
    </row>
    <row r="55">
      <c r="A55" s="23" t="n"/>
      <c r="C55" s="23" t="n"/>
      <c r="D55" s="22" t="n"/>
    </row>
    <row r="56">
      <c r="A56" s="23" t="n"/>
      <c r="C56" s="23" t="n"/>
      <c r="D56" s="22" t="n"/>
    </row>
    <row r="57">
      <c r="A57" s="23" t="n"/>
      <c r="C57" s="23" t="n"/>
      <c r="D57" s="22" t="n"/>
    </row>
    <row r="58"/>
    <row r="59">
      <c r="A59" s="23" t="n"/>
      <c r="C59" s="23" t="n"/>
      <c r="D59" s="22" t="n"/>
    </row>
    <row r="60">
      <c r="A60" s="23" t="n"/>
      <c r="C60" s="23" t="n"/>
      <c r="D60" s="22" t="n"/>
    </row>
    <row r="61"/>
    <row r="62">
      <c r="A62" s="23" t="n"/>
      <c r="C62" s="23" t="n"/>
      <c r="D62" s="22" t="n"/>
    </row>
    <row r="63"/>
    <row r="64">
      <c r="A64" s="23" t="n"/>
      <c r="C64" s="23" t="n"/>
      <c r="D64" s="22" t="n"/>
    </row>
    <row r="65">
      <c r="A65" s="23" t="n"/>
      <c r="C65" s="23" t="n"/>
      <c r="D65" s="22" t="n"/>
    </row>
    <row r="66"/>
    <row r="67">
      <c r="A67" s="23" t="n"/>
      <c r="C67" s="23" t="n"/>
      <c r="D67" s="22" t="n"/>
    </row>
    <row r="68">
      <c r="A68" s="23" t="n"/>
      <c r="C68" s="23" t="n"/>
      <c r="D68" s="22" t="n"/>
    </row>
    <row r="69">
      <c r="A69" s="23" t="n"/>
      <c r="C69" s="23" t="n"/>
      <c r="D69" s="22" t="n"/>
    </row>
    <row r="70"/>
    <row r="71">
      <c r="A71" s="23" t="n"/>
      <c r="C71" s="23" t="n"/>
      <c r="D71" s="22" t="n"/>
    </row>
    <row r="72"/>
    <row r="73">
      <c r="D73" s="21" t="n"/>
    </row>
    <row r="74"/>
    <row r="75">
      <c r="D75" s="20" t="n"/>
    </row>
    <row r="76"/>
    <row r="77">
      <c r="D77" s="20" t="n"/>
    </row>
  </sheetData>
  <pageMargins left="0.7" right="0.7" top="0.75" bottom="0.75" header="0.3" footer="0.3"/>
  <colBreaks count="1" manualBreakCount="1">
    <brk id="3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AURELIEN</dc:creator>
  <dcterms:created xsi:type="dcterms:W3CDTF">2026-03-04T09:22:55Z</dcterms:created>
  <dcterms:modified xsi:type="dcterms:W3CDTF">2026-10-03T12:26:12Z</dcterms:modified>
  <cp:lastModifiedBy>MOUTEN</cp:lastModifiedBy>
</cp:coreProperties>
</file>