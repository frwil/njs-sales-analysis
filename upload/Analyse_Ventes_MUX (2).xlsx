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par Marque" sheetId="1" state="visible" r:id="rId1"/>
    <sheet xmlns:r="http://schemas.openxmlformats.org/officeDocument/2006/relationships" name="Ventes par Distributeur" sheetId="2" state="visible" r:id="rId2"/>
    <sheet xmlns:r="http://schemas.openxmlformats.org/officeDocument/2006/relationships" name="Détail Avril 2026" sheetId="3" state="visible" r:id="rId3"/>
    <sheet xmlns:r="http://schemas.openxmlformats.org/officeDocument/2006/relationships" name="Détail Mai 2026" sheetId="4" state="visible" r:id="rId4"/>
    <sheet xmlns:r="http://schemas.openxmlformats.org/officeDocument/2006/relationships" name="Détail Juin 2026" sheetId="5" state="visible" r:id="rId5"/>
    <sheet xmlns:r="http://schemas.openxmlformats.org/officeDocument/2006/relationships" name="Détail Juillet MTD 2026" sheetId="6" state="visible" r:id="rId6"/>
    <sheet xmlns:r="http://schemas.openxmlformats.org/officeDocument/2006/relationships" name="Tendances" sheetId="7" state="visible" r:id="rId7"/>
    <sheet xmlns:r="http://schemas.openxmlformats.org/officeDocument/2006/relationships" name="Classement Distributeurs" sheetId="8" state="visible" r:id="rId8"/>
    <sheet xmlns:r="http://schemas.openxmlformats.org/officeDocument/2006/relationships" name="Grossiste vs Détailla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5" fillId="4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6" fillId="5" borderId="2" pivotButton="0" quotePrefix="0" xfId="0"/>
    <xf numFmtId="3" fontId="6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Tendance des Ventes par Marque (4 mois)</a:t>
            </a:r>
          </a:p>
        </rich>
      </tx>
    </title>
    <plotArea>
      <lineChart>
        <grouping val="standard"/>
        <ser>
          <idx val="0"/>
          <order val="0"/>
          <tx>
            <strRef>
              <f>'Synthèse par Marque'!C17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0"/>
            <dispEq val="0"/>
          </trendline>
          <cat>
            <numRef>
              <f>'Synthèse par Marque'!$B$18:$B$22</f>
            </numRef>
          </cat>
          <val>
            <numRef>
              <f>'Synthèse par Marque'!$C$18:$C$22</f>
            </numRef>
          </val>
          <smooth val="1"/>
        </ser>
        <ser>
          <idx val="1"/>
          <order val="1"/>
          <tx>
            <strRef>
              <f>'Synthèse par Marque'!D17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0"/>
            <dispEq val="0"/>
          </trendline>
          <cat>
            <numRef>
              <f>'Synthèse par Marque'!$B$18:$B$22</f>
            </numRef>
          </cat>
          <val>
            <numRef>
              <f>'Synthèse par Marque'!$D$18:$D$22</f>
            </numRef>
          </val>
          <smooth val="1"/>
        </ser>
        <ser>
          <idx val="2"/>
          <order val="2"/>
          <tx>
            <strRef>
              <f>'Synthèse par Marque'!E17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0"/>
            <dispEq val="0"/>
          </trendline>
          <cat>
            <numRef>
              <f>'Synthèse par Marque'!$B$18:$B$22</f>
            </numRef>
          </cat>
          <val>
            <numRef>
              <f>'Synthèse par Marque'!$E$18:$E$22</f>
            </numRef>
          </val>
          <smooth val="1"/>
        </ser>
        <ser>
          <idx val="3"/>
          <order val="3"/>
          <tx>
            <strRef>
              <f>'Synthèse par Marque'!F17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0"/>
            <dispEq val="0"/>
          </trendline>
          <cat>
            <numRef>
              <f>'Synthèse par Marque'!$B$18:$B$22</f>
            </numRef>
          </cat>
          <val>
            <numRef>
              <f>'Synthèse par Marque'!$F$18:$F$22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Quantité 
(Packs)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Ventes par Distributeur — Avril / Mai / Juin / Juil. MTD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'Ventes par Distributeur'!C24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'Ventes par Distributeur'!$B$25:$B$40</f>
            </numRef>
          </cat>
          <val>
            <numRef>
              <f>'Ventes par Distributeur'!$C$25:$C$40</f>
            </numRef>
          </val>
        </ser>
        <ser>
          <idx val="1"/>
          <order val="1"/>
          <tx>
            <strRef>
              <f>'Ventes par Distributeur'!D24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'Ventes par Distributeur'!$B$25:$B$40</f>
            </numRef>
          </cat>
          <val>
            <numRef>
              <f>'Ventes par Distributeur'!$D$25:$D$40</f>
            </numRef>
          </val>
        </ser>
        <ser>
          <idx val="2"/>
          <order val="2"/>
          <tx>
            <strRef>
              <f>'Ventes par Distributeur'!E24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cat>
            <numRef>
              <f>'Ventes par Distributeur'!$B$25:$B$40</f>
            </numRef>
          </cat>
          <val>
            <numRef>
              <f>'Ventes par Distributeur'!$E$25:$E$40</f>
            </numRef>
          </val>
        </ser>
        <ser>
          <idx val="3"/>
          <order val="3"/>
          <tx>
            <strRef>
              <f>'Ventes par Distributeur'!F24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'Ventes par Distributeur'!$B$25:$B$40</f>
            </numRef>
          </cat>
          <val>
            <numRef>
              <f>'Ventes par Distributeur'!$F$25:$F$40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Quantité 
(Packs)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Tendance par Marque — Objectifs vs Réalisations (4 mois)</a:t>
            </a:r>
          </a:p>
        </rich>
      </tx>
    </title>
    <plotArea>
      <lineChart>
        <grouping val="standard"/>
        <ser>
          <idx val="0"/>
          <order val="0"/>
          <tx>
            <strRef>
              <f>'Tendances'!C4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0"/>
            <dispEq val="0"/>
          </trendline>
          <cat>
            <numRef>
              <f>'Tendances'!$B$5:$B$12</f>
            </numRef>
          </cat>
          <val>
            <numRef>
              <f>'Tendances'!$C$5:$C$12</f>
            </numRef>
          </val>
          <smooth val="1"/>
        </ser>
        <ser>
          <idx val="1"/>
          <order val="1"/>
          <tx>
            <strRef>
              <f>'Tendances'!D4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0"/>
            <dispEq val="0"/>
          </trendline>
          <cat>
            <numRef>
              <f>'Tendances'!$B$5:$B$12</f>
            </numRef>
          </cat>
          <val>
            <numRef>
              <f>'Tendances'!$D$5:$D$12</f>
            </numRef>
          </val>
          <smooth val="1"/>
        </ser>
        <ser>
          <idx val="2"/>
          <order val="2"/>
          <tx>
            <strRef>
              <f>'Tendances'!E4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0"/>
            <dispEq val="0"/>
          </trendline>
          <cat>
            <numRef>
              <f>'Tendances'!$B$5:$B$12</f>
            </numRef>
          </cat>
          <val>
            <numRef>
              <f>'Tendances'!$E$5:$E$12</f>
            </numRef>
          </val>
          <smooth val="1"/>
        </ser>
        <ser>
          <idx val="3"/>
          <order val="3"/>
          <tx>
            <strRef>
              <f>'Tendances'!F4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0"/>
            <dispEq val="0"/>
          </trendline>
          <cat>
            <numRef>
              <f>'Tendances'!$B$5:$B$12</f>
            </numRef>
          </cat>
          <val>
            <numRef>
              <f>'Tendances'!$F$5:$F$12</f>
            </numRef>
          </val>
          <smooth val="1"/>
        </ser>
        <ser>
          <idx val="4"/>
          <order val="4"/>
          <tx>
            <strRef>
              <f>'Tendances'!G4</f>
            </strRef>
          </tx>
          <spPr>
            <a:solidFill xmlns:a="http://schemas.openxmlformats.org/drawingml/2006/main">
              <a:srgbClr val="8C8A84"/>
            </a:solidFill>
            <a:ln xmlns:a="http://schemas.openxmlformats.org/drawingml/2006/main">
              <a:solidFill>
                <a:srgbClr val="8C8A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0"/>
            <dispEq val="0"/>
          </trendline>
          <cat>
            <numRef>
              <f>'Tendances'!$B$5:$B$12</f>
            </numRef>
          </cat>
          <val>
            <numRef>
              <f>'Tendances'!$G$5:$G$12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Quantité 
(Packs)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Volume Total MUX — Réalisé vs Objectif (4 mois)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'Tendances'!C39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'Tendances'!$B$40:$B$47</f>
            </numRef>
          </cat>
          <val>
            <numRef>
              <f>'Tendances'!$C$40:$C$47</f>
            </numRef>
          </val>
        </ser>
        <ser>
          <idx val="1"/>
          <order val="1"/>
          <tx>
            <strRef>
              <f>'Tendances'!D39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'Tendances'!$B$40:$B$47</f>
            </numRef>
          </cat>
          <val>
            <numRef>
              <f>'Tendances'!$D$40:$D$47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Quantité 
(Packs)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38</row>
      <rowOff>0</rowOff>
    </from>
    <ext cx="100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8" customWidth="1" min="3" max="3"/>
    <col width="8" customWidth="1" min="4" max="4"/>
    <col width="8" customWidth="1" min="5" max="5"/>
    <col width="11" customWidth="1" min="6" max="6"/>
    <col width="22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21" customWidth="1" min="16" max="16"/>
    <col width="23" customWidth="1" min="17" max="17"/>
  </cols>
  <sheetData>
    <row r="1" ht="15" customHeight="1"/>
    <row r="2" ht="32" customHeight="1">
      <c r="B2" s="1" t="inlineStr">
        <is>
          <t>Analyse des Ventes MUX — Synthèse par Marque</t>
        </is>
      </c>
    </row>
    <row r="3" ht="8" customHeight="1"/>
    <row r="4">
      <c r="B4" s="2" t="inlineStr">
        <is>
          <t>Total Avril</t>
        </is>
      </c>
      <c r="D4" s="2" t="inlineStr">
        <is>
          <t>Total Mai</t>
        </is>
      </c>
      <c r="F4" s="2" t="inlineStr">
        <is>
          <t>Total Juin</t>
        </is>
      </c>
      <c r="H4" s="2" t="inlineStr">
        <is>
          <t>Total Juil. MTD</t>
        </is>
      </c>
      <c r="J4" s="2" t="inlineStr">
        <is>
          <t>Var. Avr→Mai</t>
        </is>
      </c>
      <c r="L4" s="2" t="inlineStr">
        <is>
          <t>Var. Mai→Jun</t>
        </is>
      </c>
      <c r="N4" s="2" t="inlineStr">
        <is>
          <t>Var. Jun→Jul</t>
        </is>
      </c>
      <c r="P4" s="2" t="inlineStr">
        <is>
          <t>Obj. Juillet</t>
        </is>
      </c>
    </row>
    <row r="5">
      <c r="B5" s="3" t="n">
        <v>3427</v>
      </c>
      <c r="D5" s="3" t="n">
        <v>2338</v>
      </c>
      <c r="F5" s="3" t="n">
        <v>1016</v>
      </c>
      <c r="H5" s="3" t="n">
        <v>39</v>
      </c>
      <c r="J5" s="4" t="n">
        <v>-0.3177706448789028</v>
      </c>
      <c r="L5" s="4" t="n">
        <v>-0.5654405474764757</v>
      </c>
      <c r="N5" s="4" t="n">
        <v>-0.9616141732283464</v>
      </c>
      <c r="P5" s="3" t="n">
        <v>9840</v>
      </c>
    </row>
    <row r="8" ht="28" customHeight="1">
      <c r="B8" s="5" t="inlineStr">
        <is>
          <t>Marque</t>
        </is>
      </c>
      <c r="C8" s="5" t="inlineStr">
        <is>
          <t>Avril</t>
        </is>
      </c>
      <c r="D8" s="5" t="inlineStr">
        <is>
          <t>Mai</t>
        </is>
      </c>
      <c r="E8" s="5" t="inlineStr">
        <is>
          <t>Juin</t>
        </is>
      </c>
      <c r="F8" s="5" t="inlineStr">
        <is>
          <t>Juil. MTD</t>
        </is>
      </c>
      <c r="G8" s="5" t="inlineStr">
        <is>
          <t>Var. Avr→Mai</t>
        </is>
      </c>
      <c r="H8" s="5" t="inlineStr">
        <is>
          <t>Var. Mai→Jun</t>
        </is>
      </c>
      <c r="I8" s="5" t="inlineStr">
        <is>
          <t>Var. Jun→Jul</t>
        </is>
      </c>
      <c r="J8" s="5" t="inlineStr">
        <is>
          <t>Obj. Avril</t>
        </is>
      </c>
      <c r="K8" s="5" t="inlineStr">
        <is>
          <t>Obj. Mai</t>
        </is>
      </c>
      <c r="L8" s="5" t="inlineStr">
        <is>
          <t>Obj. Juin</t>
        </is>
      </c>
      <c r="M8" s="5" t="inlineStr">
        <is>
          <t>Obj. Juillet</t>
        </is>
      </c>
      <c r="N8" s="5" t="inlineStr">
        <is>
          <t>Taux Avr</t>
        </is>
      </c>
      <c r="O8" s="5" t="inlineStr">
        <is>
          <t>Taux Mai</t>
        </is>
      </c>
      <c r="P8" s="5" t="inlineStr">
        <is>
          <t>Taux Juin</t>
        </is>
      </c>
      <c r="Q8" s="5" t="inlineStr">
        <is>
          <t>Taux Juil. MTD</t>
        </is>
      </c>
    </row>
    <row r="9" ht="22" customHeight="1">
      <c r="B9" s="6" t="inlineStr">
        <is>
          <t>MUX MOJITO</t>
        </is>
      </c>
      <c r="C9" s="7" t="n">
        <v>566</v>
      </c>
      <c r="D9" s="7" t="n">
        <v>441</v>
      </c>
      <c r="E9" s="7" t="n">
        <v>227</v>
      </c>
      <c r="F9" s="7" t="n">
        <v>5</v>
      </c>
      <c r="G9" s="8" t="n">
        <v>-0.2208480565371025</v>
      </c>
      <c r="H9" s="8" t="n">
        <v>-0.4852607709750567</v>
      </c>
      <c r="I9" s="8" t="n">
        <v>-0.9779735682819384</v>
      </c>
      <c r="J9" s="7" t="n">
        <v>4118.396982372719</v>
      </c>
      <c r="K9" s="7" t="n">
        <v>4118.396982372719</v>
      </c>
      <c r="L9" s="7" t="n">
        <v>4118.396982372719</v>
      </c>
      <c r="M9" s="7" t="n">
        <v>2164.799999999999</v>
      </c>
      <c r="N9" s="8" t="n">
        <v>0.1374321131310445</v>
      </c>
      <c r="O9" s="8" t="n">
        <v>0.1070804980402661</v>
      </c>
      <c r="P9" s="8" t="n">
        <v>0.05511853300485355</v>
      </c>
      <c r="Q9" s="8" t="n">
        <v>0.002309682187730969</v>
      </c>
    </row>
    <row r="10" ht="22" customHeight="1">
      <c r="B10" s="9" t="inlineStr">
        <is>
          <t>MUX WISKO MIX</t>
        </is>
      </c>
      <c r="C10" s="10" t="n">
        <v>1453</v>
      </c>
      <c r="D10" s="10" t="n">
        <v>1048</v>
      </c>
      <c r="E10" s="10" t="n">
        <v>441</v>
      </c>
      <c r="F10" s="10" t="n">
        <v>11</v>
      </c>
      <c r="G10" s="11" t="n">
        <v>-0.2787336545079147</v>
      </c>
      <c r="H10" s="11" t="n">
        <v>-0.5791984732824428</v>
      </c>
      <c r="I10" s="11" t="n">
        <v>-0.9750566893424036</v>
      </c>
      <c r="J10" s="10" t="n">
        <v>4679.996570878091</v>
      </c>
      <c r="K10" s="10" t="n">
        <v>4679.996570878091</v>
      </c>
      <c r="L10" s="10" t="n">
        <v>4679.996570878091</v>
      </c>
      <c r="M10" s="10" t="n">
        <v>2460</v>
      </c>
      <c r="N10" s="11" t="n">
        <v>0.310470312957383</v>
      </c>
      <c r="O10" s="11" t="n">
        <v>0.2239317880105556</v>
      </c>
      <c r="P10" s="11" t="n">
        <v>0.0942308382754342</v>
      </c>
      <c r="Q10" s="11" t="n">
        <v>0.004471544715447155</v>
      </c>
    </row>
    <row r="11" ht="22" customHeight="1">
      <c r="B11" s="6" t="inlineStr">
        <is>
          <t>MUX HERBAL MIX</t>
        </is>
      </c>
      <c r="C11" s="7" t="n">
        <v>227</v>
      </c>
      <c r="D11" s="7" t="n">
        <v>201</v>
      </c>
      <c r="E11" s="7" t="n">
        <v>98</v>
      </c>
      <c r="F11" s="7" t="n">
        <v>3</v>
      </c>
      <c r="G11" s="8" t="n">
        <v>-0.1145374449339207</v>
      </c>
      <c r="H11" s="8" t="n">
        <v>-0.5124378109452736</v>
      </c>
      <c r="I11" s="8" t="n">
        <v>-0.9693877551020408</v>
      </c>
      <c r="J11" s="7" t="n">
        <v>2995.197805361978</v>
      </c>
      <c r="K11" s="7" t="n">
        <v>2995.197805361978</v>
      </c>
      <c r="L11" s="7" t="n">
        <v>2995.197805361978</v>
      </c>
      <c r="M11" s="7" t="n">
        <v>1574.4</v>
      </c>
      <c r="N11" s="8" t="n">
        <v>0.07578798288167361</v>
      </c>
      <c r="O11" s="8" t="n">
        <v>0.067107420965711</v>
      </c>
      <c r="P11" s="8" t="n">
        <v>0.0327190410678591</v>
      </c>
      <c r="Q11" s="8" t="n">
        <v>0.001905487804878049</v>
      </c>
    </row>
    <row r="12" ht="22" customHeight="1">
      <c r="B12" s="9" t="inlineStr">
        <is>
          <t>MUX GINTO MIX</t>
        </is>
      </c>
      <c r="C12" s="10" t="n">
        <v>667</v>
      </c>
      <c r="D12" s="10" t="n">
        <v>410</v>
      </c>
      <c r="E12" s="10" t="n">
        <v>141</v>
      </c>
      <c r="F12" s="10" t="n">
        <v>17</v>
      </c>
      <c r="G12" s="11" t="n">
        <v>-0.3853073463268366</v>
      </c>
      <c r="H12" s="11" t="n">
        <v>-0.6560975609756098</v>
      </c>
      <c r="I12" s="11" t="n">
        <v>-0.8794326241134752</v>
      </c>
      <c r="J12" s="10" t="n">
        <v>3743.997256702473</v>
      </c>
      <c r="K12" s="10" t="n">
        <v>3743.997256702473</v>
      </c>
      <c r="L12" s="10" t="n">
        <v>3743.997256702473</v>
      </c>
      <c r="M12" s="10" t="n">
        <v>1968</v>
      </c>
      <c r="N12" s="11" t="n">
        <v>0.1781518399368328</v>
      </c>
      <c r="O12" s="11" t="n">
        <v>0.1095086272475284</v>
      </c>
      <c r="P12" s="11" t="n">
        <v>0.03766028400463781</v>
      </c>
      <c r="Q12" s="11" t="n">
        <v>0.00863821138211382</v>
      </c>
    </row>
    <row r="13" ht="22" customHeight="1">
      <c r="B13" s="6" t="inlineStr">
        <is>
          <t>MUX MARGARITA</t>
        </is>
      </c>
      <c r="C13" s="7" t="n">
        <v>514</v>
      </c>
      <c r="D13" s="7" t="n">
        <v>238</v>
      </c>
      <c r="E13" s="7" t="n">
        <v>109</v>
      </c>
      <c r="F13" s="7" t="n">
        <v>3</v>
      </c>
      <c r="G13" s="8" t="n">
        <v>-0.5369649805447471</v>
      </c>
      <c r="H13" s="8" t="n">
        <v>-0.542016806722689</v>
      </c>
      <c r="I13" s="8" t="n">
        <v>-0.9724770642201835</v>
      </c>
      <c r="J13" s="7" t="n">
        <v>3182.397668197102</v>
      </c>
      <c r="K13" s="7" t="n">
        <v>3182.397668197102</v>
      </c>
      <c r="L13" s="7" t="n">
        <v>3182.397668197102</v>
      </c>
      <c r="M13" s="7" t="n">
        <v>1672.8</v>
      </c>
      <c r="N13" s="8" t="n">
        <v>0.1615134416218927</v>
      </c>
      <c r="O13" s="8" t="n">
        <v>0.07478637958367793</v>
      </c>
      <c r="P13" s="8" t="n">
        <v>0.03425090493538191</v>
      </c>
      <c r="Q13" s="8" t="n">
        <v>0.001793400286944046</v>
      </c>
    </row>
    <row r="14" ht="26" customHeight="1">
      <c r="B14" s="12" t="inlineStr">
        <is>
          <t>TOTAL</t>
        </is>
      </c>
      <c r="C14" s="13" t="n">
        <v>3427</v>
      </c>
      <c r="D14" s="13" t="n">
        <v>2338</v>
      </c>
      <c r="E14" s="13" t="n">
        <v>1016</v>
      </c>
      <c r="F14" s="13" t="n">
        <v>39</v>
      </c>
      <c r="G14" s="14" t="n">
        <v>-0.3177706448789028</v>
      </c>
      <c r="H14" s="14" t="n">
        <v>-0.5654405474764757</v>
      </c>
      <c r="I14" s="14" t="n">
        <v>-0.9616141732283464</v>
      </c>
      <c r="J14" s="13" t="n">
        <v>18719.98628351236</v>
      </c>
      <c r="K14" s="13" t="n">
        <v>18719.98628351236</v>
      </c>
      <c r="L14" s="13" t="n">
        <v>18719.98628351236</v>
      </c>
      <c r="M14" s="13" t="n">
        <v>9840</v>
      </c>
      <c r="N14" s="14" t="n">
        <v>0.1830663734523316</v>
      </c>
      <c r="O14" s="14" t="n">
        <v>0.1248932539047422</v>
      </c>
      <c r="P14" s="14" t="n">
        <v>0.05427354404072627</v>
      </c>
      <c r="Q14" s="14" t="n">
        <v>0.003963414634146342</v>
      </c>
    </row>
    <row r="15"/>
    <row r="16"/>
    <row r="17">
      <c r="B17" t="inlineStr">
        <is>
          <t>Marque</t>
        </is>
      </c>
      <c r="C17" t="inlineStr">
        <is>
          <t>Avril</t>
        </is>
      </c>
      <c r="D17" t="inlineStr">
        <is>
          <t>Mai</t>
        </is>
      </c>
      <c r="E17" t="inlineStr">
        <is>
          <t>Juin</t>
        </is>
      </c>
      <c r="F17" t="inlineStr">
        <is>
          <t>Juil. MTD</t>
        </is>
      </c>
    </row>
    <row r="18">
      <c r="B18" t="inlineStr">
        <is>
          <t>MUX MOJITO</t>
        </is>
      </c>
      <c r="C18" t="n">
        <v>566</v>
      </c>
      <c r="D18" t="n">
        <v>441</v>
      </c>
      <c r="E18" t="n">
        <v>227</v>
      </c>
      <c r="F18" t="n">
        <v>5</v>
      </c>
    </row>
    <row r="19">
      <c r="B19" t="inlineStr">
        <is>
          <t>MUX WISKO MIX</t>
        </is>
      </c>
      <c r="C19" t="n">
        <v>1453</v>
      </c>
      <c r="D19" t="n">
        <v>1048</v>
      </c>
      <c r="E19" t="n">
        <v>441</v>
      </c>
      <c r="F19" t="n">
        <v>11</v>
      </c>
    </row>
    <row r="20">
      <c r="B20" t="inlineStr">
        <is>
          <t>MUX HERBAL MIX</t>
        </is>
      </c>
      <c r="C20" t="n">
        <v>227</v>
      </c>
      <c r="D20" t="n">
        <v>201</v>
      </c>
      <c r="E20" t="n">
        <v>98</v>
      </c>
      <c r="F20" t="n">
        <v>3</v>
      </c>
    </row>
    <row r="21">
      <c r="B21" t="inlineStr">
        <is>
          <t>MUX GINTO MIX</t>
        </is>
      </c>
      <c r="C21" t="n">
        <v>667</v>
      </c>
      <c r="D21" t="n">
        <v>410</v>
      </c>
      <c r="E21" t="n">
        <v>141</v>
      </c>
      <c r="F21" t="n">
        <v>17</v>
      </c>
    </row>
    <row r="22">
      <c r="B22" t="inlineStr">
        <is>
          <t>MUX MARGARITA</t>
        </is>
      </c>
      <c r="C22" t="n">
        <v>514</v>
      </c>
      <c r="D22" t="n">
        <v>238</v>
      </c>
      <c r="E22" t="n">
        <v>109</v>
      </c>
      <c r="F22" t="n">
        <v>3</v>
      </c>
    </row>
  </sheetData>
  <mergeCells count="1">
    <mergeCell ref="B2: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8" customWidth="1" min="3" max="3"/>
    <col width="8" customWidth="1" min="4" max="4"/>
    <col width="8" customWidth="1" min="5" max="5"/>
    <col width="11" customWidth="1" min="6" max="6"/>
    <col width="22" customWidth="1" min="7" max="7"/>
    <col width="22" customWidth="1" min="8" max="8"/>
    <col width="20" customWidth="1" min="9" max="9"/>
    <col width="21" customWidth="1" min="10" max="10"/>
    <col width="20" customWidth="1" min="11" max="11"/>
    <col width="23" customWidth="1" min="12" max="12"/>
  </cols>
  <sheetData>
    <row r="1" ht="15" customHeight="1"/>
    <row r="2" ht="32" customHeight="1">
      <c r="B2" s="1" t="inlineStr">
        <is>
          <t>Ventes MUX — Par Distributeur (Région Centrale)</t>
        </is>
      </c>
    </row>
    <row r="3" ht="8" customHeight="1"/>
    <row r="4" ht="28" customHeight="1">
      <c r="B4" s="5" t="inlineStr">
        <is>
          <t>Distributeur</t>
        </is>
      </c>
      <c r="C4" s="5" t="inlineStr">
        <is>
          <t>Avril</t>
        </is>
      </c>
      <c r="D4" s="5" t="inlineStr">
        <is>
          <t>Mai</t>
        </is>
      </c>
      <c r="E4" s="5" t="inlineStr">
        <is>
          <t>Juin</t>
        </is>
      </c>
      <c r="F4" s="5" t="inlineStr">
        <is>
          <t>Juil. MTD</t>
        </is>
      </c>
      <c r="G4" s="5" t="inlineStr">
        <is>
          <t>Var. Avr→Mai</t>
        </is>
      </c>
      <c r="H4" s="5" t="inlineStr">
        <is>
          <t>Var. Mai→Jun</t>
        </is>
      </c>
      <c r="I4" s="5" t="inlineStr">
        <is>
          <t>Obj. Juin</t>
        </is>
      </c>
      <c r="J4" s="5" t="inlineStr">
        <is>
          <t>Taux Juin</t>
        </is>
      </c>
      <c r="K4" s="5" t="inlineStr">
        <is>
          <t>Obj. Juillet</t>
        </is>
      </c>
      <c r="L4" s="5" t="inlineStr">
        <is>
          <t>Taux Juil. MTD</t>
        </is>
      </c>
    </row>
    <row r="5" ht="22" customHeight="1">
      <c r="B5" s="6" t="inlineStr">
        <is>
          <t>BAFIA</t>
        </is>
      </c>
      <c r="C5" s="7" t="n">
        <v>32</v>
      </c>
      <c r="D5" s="7" t="n">
        <v>48</v>
      </c>
      <c r="E5" s="7" t="n">
        <v>0</v>
      </c>
      <c r="F5" s="7" t="n">
        <v>0</v>
      </c>
      <c r="G5" s="8" t="n">
        <v>0.5</v>
      </c>
      <c r="H5" s="8" t="n">
        <v>-1</v>
      </c>
      <c r="I5" s="7" t="n">
        <v>389.2877345252591</v>
      </c>
      <c r="J5" s="8" t="n">
        <v>0</v>
      </c>
      <c r="K5" s="7" t="n">
        <v>204.672</v>
      </c>
      <c r="L5" s="8" t="n">
        <v>0</v>
      </c>
    </row>
    <row r="6" ht="22" customHeight="1">
      <c r="B6" s="9" t="inlineStr">
        <is>
          <t>DISCOM BAFIA</t>
        </is>
      </c>
      <c r="C6" s="10" t="n">
        <v>0</v>
      </c>
      <c r="D6" s="10" t="n">
        <v>0</v>
      </c>
      <c r="E6" s="10" t="n">
        <v>56</v>
      </c>
      <c r="F6" s="10" t="n">
        <v>0</v>
      </c>
      <c r="G6" s="11" t="n">
        <v>0</v>
      </c>
      <c r="H6" s="11" t="n">
        <v>0</v>
      </c>
      <c r="I6" s="10" t="n">
        <v>0</v>
      </c>
      <c r="J6" s="11" t="n">
        <v>0</v>
      </c>
      <c r="K6" s="10" t="n">
        <v>0</v>
      </c>
      <c r="L6" s="11" t="n">
        <v>0</v>
      </c>
    </row>
    <row r="7" ht="22" customHeight="1">
      <c r="B7" s="6" t="inlineStr">
        <is>
          <t>DISCOM OBALA</t>
        </is>
      </c>
      <c r="C7" s="7" t="n">
        <v>0</v>
      </c>
      <c r="D7" s="7" t="n">
        <v>0</v>
      </c>
      <c r="E7" s="7" t="n">
        <v>26</v>
      </c>
      <c r="F7" s="7" t="n">
        <v>0</v>
      </c>
      <c r="G7" s="8" t="n">
        <v>0</v>
      </c>
      <c r="H7" s="8" t="n">
        <v>0</v>
      </c>
      <c r="I7" s="7" t="n">
        <v>0</v>
      </c>
      <c r="J7" s="8" t="n">
        <v>0</v>
      </c>
      <c r="K7" s="7" t="n">
        <v>0</v>
      </c>
      <c r="L7" s="8" t="n">
        <v>0</v>
      </c>
    </row>
    <row r="8" ht="22" customHeight="1">
      <c r="B8" s="9" t="inlineStr">
        <is>
          <t>DISCOM SOA</t>
        </is>
      </c>
      <c r="C8" s="10" t="n">
        <v>0</v>
      </c>
      <c r="D8" s="10" t="n">
        <v>0</v>
      </c>
      <c r="E8" s="10" t="n">
        <v>0</v>
      </c>
      <c r="F8" s="10" t="n">
        <v>0</v>
      </c>
      <c r="G8" s="11" t="n">
        <v>0</v>
      </c>
      <c r="H8" s="11" t="n">
        <v>0</v>
      </c>
      <c r="I8" s="10" t="n">
        <v>0</v>
      </c>
      <c r="J8" s="11" t="n">
        <v>0</v>
      </c>
      <c r="K8" s="10" t="n">
        <v>0</v>
      </c>
      <c r="L8" s="11" t="n">
        <v>0</v>
      </c>
    </row>
    <row r="9" ht="22" customHeight="1">
      <c r="B9" s="6" t="inlineStr">
        <is>
          <t>EDAIDJO</t>
        </is>
      </c>
      <c r="C9" s="7" t="n">
        <v>316</v>
      </c>
      <c r="D9" s="7" t="n">
        <v>313</v>
      </c>
      <c r="E9" s="7" t="n">
        <v>79</v>
      </c>
      <c r="F9" s="7" t="n">
        <v>0</v>
      </c>
      <c r="G9" s="8" t="n">
        <v>-0.00949367088607595</v>
      </c>
      <c r="H9" s="8" t="n">
        <v>-0.7476038338658147</v>
      </c>
      <c r="I9" s="7" t="n">
        <v>1622.305887876897</v>
      </c>
      <c r="J9" s="8" t="n">
        <v>0.04869611864836839</v>
      </c>
      <c r="K9" s="7" t="n">
        <v>853.128</v>
      </c>
      <c r="L9" s="8" t="n">
        <v>0</v>
      </c>
    </row>
    <row r="10" ht="22" customHeight="1">
      <c r="B10" s="9" t="inlineStr">
        <is>
          <t>ESSOS</t>
        </is>
      </c>
      <c r="C10" s="10" t="n">
        <v>61</v>
      </c>
      <c r="D10" s="10" t="n">
        <v>22</v>
      </c>
      <c r="E10" s="10" t="n">
        <v>19</v>
      </c>
      <c r="F10" s="10" t="n">
        <v>0</v>
      </c>
      <c r="G10" s="11" t="n">
        <v>-0.639344262295082</v>
      </c>
      <c r="H10" s="11" t="n">
        <v>-0.1363636363636364</v>
      </c>
      <c r="I10" s="10" t="n">
        <v>0</v>
      </c>
      <c r="J10" s="11" t="n">
        <v>0</v>
      </c>
      <c r="K10" s="10" t="n">
        <v>0</v>
      </c>
      <c r="L10" s="11" t="n">
        <v>0</v>
      </c>
    </row>
    <row r="11" ht="22" customHeight="1">
      <c r="B11" s="6" t="inlineStr">
        <is>
          <t>ETIFA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8" t="n">
        <v>0</v>
      </c>
      <c r="H11" s="8" t="n">
        <v>0</v>
      </c>
      <c r="I11" s="7" t="n">
        <v>0</v>
      </c>
      <c r="J11" s="8" t="n">
        <v>0</v>
      </c>
      <c r="K11" s="7" t="n">
        <v>0</v>
      </c>
      <c r="L11" s="8" t="n">
        <v>0</v>
      </c>
    </row>
    <row r="12" ht="22" customHeight="1">
      <c r="B12" s="9" t="inlineStr">
        <is>
          <t>ETIFA SARL</t>
        </is>
      </c>
      <c r="C12" s="10" t="n">
        <v>0</v>
      </c>
      <c r="D12" s="10" t="n">
        <v>0</v>
      </c>
      <c r="E12" s="10" t="n">
        <v>0</v>
      </c>
      <c r="F12" s="10" t="n">
        <v>0</v>
      </c>
      <c r="G12" s="11" t="n">
        <v>0</v>
      </c>
      <c r="H12" s="11" t="n">
        <v>0</v>
      </c>
      <c r="I12" s="10" t="n">
        <v>996.1317290244449</v>
      </c>
      <c r="J12" s="11" t="n">
        <v>0</v>
      </c>
      <c r="K12" s="10" t="n">
        <v>523.4879999999999</v>
      </c>
      <c r="L12" s="11" t="n">
        <v>0</v>
      </c>
    </row>
    <row r="13" ht="22" customHeight="1">
      <c r="B13" s="6" t="inlineStr">
        <is>
          <t>ETS MASSAYO</t>
        </is>
      </c>
      <c r="C13" s="7" t="n">
        <v>0</v>
      </c>
      <c r="D13" s="7" t="n">
        <v>0</v>
      </c>
      <c r="E13" s="7" t="n">
        <v>0</v>
      </c>
      <c r="F13" s="7" t="n">
        <v>0</v>
      </c>
      <c r="G13" s="8" t="n">
        <v>0</v>
      </c>
      <c r="H13" s="8" t="n">
        <v>0</v>
      </c>
      <c r="I13" s="7" t="n">
        <v>0</v>
      </c>
      <c r="J13" s="8" t="n">
        <v>0</v>
      </c>
      <c r="K13" s="7" t="n">
        <v>0</v>
      </c>
      <c r="L13" s="8" t="n">
        <v>0</v>
      </c>
    </row>
    <row r="14" ht="22" customHeight="1">
      <c r="B14" s="9" t="inlineStr">
        <is>
          <t>ETS TSALAF</t>
        </is>
      </c>
      <c r="C14" s="10" t="n">
        <v>819</v>
      </c>
      <c r="D14" s="10" t="n">
        <v>201</v>
      </c>
      <c r="E14" s="10" t="n">
        <v>74</v>
      </c>
      <c r="F14" s="10" t="n">
        <v>2</v>
      </c>
      <c r="G14" s="11" t="n">
        <v>-0.7545787545787546</v>
      </c>
      <c r="H14" s="11" t="n">
        <v>-0.6318407960199005</v>
      </c>
      <c r="I14" s="10" t="n">
        <v>1603.43871979451</v>
      </c>
      <c r="J14" s="11" t="n">
        <v>0.04615081267931681</v>
      </c>
      <c r="K14" s="10" t="n">
        <v>843.288</v>
      </c>
      <c r="L14" s="11" t="n">
        <v>0.002371668990902278</v>
      </c>
    </row>
    <row r="15" ht="22" customHeight="1">
      <c r="B15" s="6" t="inlineStr">
        <is>
          <t>LAMARC</t>
        </is>
      </c>
      <c r="C15" s="7" t="n">
        <v>528</v>
      </c>
      <c r="D15" s="7" t="n">
        <v>268</v>
      </c>
      <c r="E15" s="7" t="n">
        <v>163</v>
      </c>
      <c r="F15" s="7" t="n">
        <v>0</v>
      </c>
      <c r="G15" s="8" t="n">
        <v>-0.4924242424242424</v>
      </c>
      <c r="H15" s="8" t="n">
        <v>-0.3917910447761194</v>
      </c>
      <c r="I15" s="7" t="n">
        <v>1344.824409834513</v>
      </c>
      <c r="J15" s="8" t="n">
        <v>0.1212054144823694</v>
      </c>
      <c r="K15" s="7" t="n">
        <v>706.5120000000001</v>
      </c>
      <c r="L15" s="8" t="n">
        <v>0</v>
      </c>
    </row>
    <row r="16" ht="22" customHeight="1">
      <c r="B16" s="9" t="inlineStr">
        <is>
          <t>OBALA</t>
        </is>
      </c>
      <c r="C16" s="10" t="n">
        <v>65</v>
      </c>
      <c r="D16" s="10" t="n">
        <v>227</v>
      </c>
      <c r="E16" s="10" t="n">
        <v>0</v>
      </c>
      <c r="F16" s="10" t="n">
        <v>13</v>
      </c>
      <c r="G16" s="11" t="n">
        <v>2.492307692307692</v>
      </c>
      <c r="H16" s="11" t="n">
        <v>-1</v>
      </c>
      <c r="I16" s="10" t="n">
        <v>1362.507070838407</v>
      </c>
      <c r="J16" s="11" t="n">
        <v>0</v>
      </c>
      <c r="K16" s="10" t="n">
        <v>716.3520000000001</v>
      </c>
      <c r="L16" s="11" t="n">
        <v>0.01814750290360046</v>
      </c>
    </row>
    <row r="17" ht="22" customHeight="1">
      <c r="B17" s="6" t="inlineStr">
        <is>
          <t>SADIS SARL</t>
        </is>
      </c>
      <c r="C17" s="7" t="n">
        <v>623</v>
      </c>
      <c r="D17" s="7" t="n">
        <v>415</v>
      </c>
      <c r="E17" s="7" t="n">
        <v>260</v>
      </c>
      <c r="F17" s="7" t="n">
        <v>1</v>
      </c>
      <c r="G17" s="8" t="n">
        <v>-0.3338683788121991</v>
      </c>
      <c r="H17" s="8" t="n">
        <v>-0.3734939759036144</v>
      </c>
      <c r="I17" s="7" t="n">
        <v>1624.998769061954</v>
      </c>
      <c r="J17" s="8" t="n">
        <v>0.1600001212001456</v>
      </c>
      <c r="K17" s="7" t="n">
        <v>854.112</v>
      </c>
      <c r="L17" s="8" t="n">
        <v>0.001170806638941965</v>
      </c>
    </row>
    <row r="18" ht="22" customHeight="1">
      <c r="B18" s="9" t="inlineStr">
        <is>
          <t>SOA</t>
        </is>
      </c>
      <c r="C18" s="10" t="n">
        <v>34</v>
      </c>
      <c r="D18" s="10" t="n">
        <v>0</v>
      </c>
      <c r="E18" s="10" t="n">
        <v>0</v>
      </c>
      <c r="F18" s="10" t="n">
        <v>0</v>
      </c>
      <c r="G18" s="11" t="n">
        <v>-1</v>
      </c>
      <c r="H18" s="11" t="n">
        <v>0</v>
      </c>
      <c r="I18" s="10" t="n">
        <v>194.6438672626296</v>
      </c>
      <c r="J18" s="11" t="n">
        <v>0</v>
      </c>
      <c r="K18" s="10" t="n">
        <v>102.336</v>
      </c>
      <c r="L18" s="11" t="n">
        <v>0</v>
      </c>
    </row>
    <row r="19" ht="22" customHeight="1">
      <c r="B19" s="6" t="inlineStr">
        <is>
          <t>SOCLADIS</t>
        </is>
      </c>
      <c r="C19" s="7" t="n">
        <v>55</v>
      </c>
      <c r="D19" s="7" t="n">
        <v>12</v>
      </c>
      <c r="E19" s="7" t="n">
        <v>0</v>
      </c>
      <c r="F19" s="7" t="n">
        <v>0</v>
      </c>
      <c r="G19" s="8" t="n">
        <v>-0.7818181818181819</v>
      </c>
      <c r="H19" s="8" t="n">
        <v>-1</v>
      </c>
      <c r="I19" s="7" t="n">
        <v>1091.582031390459</v>
      </c>
      <c r="J19" s="8" t="n">
        <v>0</v>
      </c>
      <c r="K19" s="7" t="n">
        <v>573.672</v>
      </c>
      <c r="L19" s="8" t="n">
        <v>0</v>
      </c>
    </row>
    <row r="20" ht="22" customHeight="1">
      <c r="B20" s="9" t="inlineStr">
        <is>
          <t>SUNCAM</t>
        </is>
      </c>
      <c r="C20" s="10" t="n">
        <v>894</v>
      </c>
      <c r="D20" s="10" t="n">
        <v>832</v>
      </c>
      <c r="E20" s="10" t="n">
        <v>339</v>
      </c>
      <c r="F20" s="10" t="n">
        <v>23</v>
      </c>
      <c r="G20" s="11" t="n">
        <v>-0.06935123042505593</v>
      </c>
      <c r="H20" s="11" t="n">
        <v>-0.5925480769230769</v>
      </c>
      <c r="I20" s="10" t="n">
        <v>8490.266063903289</v>
      </c>
      <c r="J20" s="11" t="n">
        <v>0.03992807733567647</v>
      </c>
      <c r="K20" s="10" t="n">
        <v>4462.440000000001</v>
      </c>
      <c r="L20" s="11" t="n">
        <v>0.005154130923889172</v>
      </c>
    </row>
    <row r="21" ht="26" customHeight="1">
      <c r="B21" s="12" t="inlineStr">
        <is>
          <t>TOTAL CENTRAL</t>
        </is>
      </c>
      <c r="C21" s="13" t="n">
        <v>3427</v>
      </c>
      <c r="D21" s="13" t="n">
        <v>2338</v>
      </c>
      <c r="E21" s="13" t="n">
        <v>1016</v>
      </c>
      <c r="F21" s="13" t="n">
        <v>39</v>
      </c>
      <c r="G21" s="14" t="n">
        <v>-0.3177706448789028</v>
      </c>
      <c r="H21" s="14" t="n">
        <v>-0.5654405474764757</v>
      </c>
      <c r="I21" s="13" t="n">
        <v>18719.98628351236</v>
      </c>
      <c r="J21" s="14" t="n">
        <v>0.05427354404072627</v>
      </c>
      <c r="K21" s="13" t="n">
        <v>9840</v>
      </c>
      <c r="L21" s="14" t="n">
        <v>0.003963414634146342</v>
      </c>
    </row>
    <row r="22"/>
    <row r="23"/>
    <row r="24">
      <c r="B24" t="inlineStr">
        <is>
          <t>Distributeur</t>
        </is>
      </c>
      <c r="C24" t="inlineStr">
        <is>
          <t>Avril</t>
        </is>
      </c>
      <c r="D24" t="inlineStr">
        <is>
          <t>Mai</t>
        </is>
      </c>
      <c r="E24" t="inlineStr">
        <is>
          <t>Juin</t>
        </is>
      </c>
      <c r="F24" t="inlineStr">
        <is>
          <t>Juil. MTD</t>
        </is>
      </c>
    </row>
    <row r="25">
      <c r="B25" t="inlineStr">
        <is>
          <t>BAFIA</t>
        </is>
      </c>
      <c r="C25" t="n">
        <v>32</v>
      </c>
      <c r="D25" t="n">
        <v>48</v>
      </c>
      <c r="E25" t="n">
        <v>0</v>
      </c>
      <c r="F25" t="n">
        <v>0</v>
      </c>
    </row>
    <row r="26">
      <c r="B26" t="inlineStr">
        <is>
          <t>DISCOM BAFIA</t>
        </is>
      </c>
      <c r="C26" t="n">
        <v>0</v>
      </c>
      <c r="D26" t="n">
        <v>0</v>
      </c>
      <c r="E26" t="n">
        <v>56</v>
      </c>
      <c r="F26" t="n">
        <v>0</v>
      </c>
    </row>
    <row r="27">
      <c r="B27" t="inlineStr">
        <is>
          <t>DISCOM OBALA</t>
        </is>
      </c>
      <c r="C27" t="n">
        <v>0</v>
      </c>
      <c r="D27" t="n">
        <v>0</v>
      </c>
      <c r="E27" t="n">
        <v>26</v>
      </c>
      <c r="F27" t="n">
        <v>0</v>
      </c>
    </row>
    <row r="28">
      <c r="B28" t="inlineStr">
        <is>
          <t>DISCOM SOA</t>
        </is>
      </c>
      <c r="C28" t="n">
        <v>0</v>
      </c>
      <c r="D28" t="n">
        <v>0</v>
      </c>
      <c r="E28" t="n">
        <v>0</v>
      </c>
      <c r="F28" t="n">
        <v>0</v>
      </c>
    </row>
    <row r="29">
      <c r="B29" t="inlineStr">
        <is>
          <t>EDAIDJO</t>
        </is>
      </c>
      <c r="C29" t="n">
        <v>316</v>
      </c>
      <c r="D29" t="n">
        <v>313</v>
      </c>
      <c r="E29" t="n">
        <v>79</v>
      </c>
      <c r="F29" t="n">
        <v>0</v>
      </c>
    </row>
    <row r="30">
      <c r="B30" t="inlineStr">
        <is>
          <t>ESSOS</t>
        </is>
      </c>
      <c r="C30" t="n">
        <v>61</v>
      </c>
      <c r="D30" t="n">
        <v>22</v>
      </c>
      <c r="E30" t="n">
        <v>19</v>
      </c>
      <c r="F30" t="n">
        <v>0</v>
      </c>
    </row>
    <row r="31">
      <c r="B31" t="inlineStr">
        <is>
          <t>ETIFA</t>
        </is>
      </c>
      <c r="C31" t="n">
        <v>0</v>
      </c>
      <c r="D31" t="n">
        <v>0</v>
      </c>
      <c r="E31" t="n">
        <v>0</v>
      </c>
      <c r="F31" t="n">
        <v>0</v>
      </c>
    </row>
    <row r="32">
      <c r="B32" t="inlineStr">
        <is>
          <t>ETIFA SARL</t>
        </is>
      </c>
      <c r="C32" t="n">
        <v>0</v>
      </c>
      <c r="D32" t="n">
        <v>0</v>
      </c>
      <c r="E32" t="n">
        <v>0</v>
      </c>
      <c r="F32" t="n">
        <v>0</v>
      </c>
    </row>
    <row r="33">
      <c r="B33" t="inlineStr">
        <is>
          <t>ETS MASSAYO</t>
        </is>
      </c>
      <c r="C33" t="n">
        <v>0</v>
      </c>
      <c r="D33" t="n">
        <v>0</v>
      </c>
      <c r="E33" t="n">
        <v>0</v>
      </c>
      <c r="F33" t="n">
        <v>0</v>
      </c>
    </row>
    <row r="34">
      <c r="B34" t="inlineStr">
        <is>
          <t>ETS TSALAF</t>
        </is>
      </c>
      <c r="C34" t="n">
        <v>819</v>
      </c>
      <c r="D34" t="n">
        <v>201</v>
      </c>
      <c r="E34" t="n">
        <v>74</v>
      </c>
      <c r="F34" t="n">
        <v>2</v>
      </c>
    </row>
    <row r="35">
      <c r="B35" t="inlineStr">
        <is>
          <t>LAMARC</t>
        </is>
      </c>
      <c r="C35" t="n">
        <v>528</v>
      </c>
      <c r="D35" t="n">
        <v>268</v>
      </c>
      <c r="E35" t="n">
        <v>163</v>
      </c>
      <c r="F35" t="n">
        <v>0</v>
      </c>
    </row>
    <row r="36">
      <c r="B36" t="inlineStr">
        <is>
          <t>OBALA</t>
        </is>
      </c>
      <c r="C36" t="n">
        <v>65</v>
      </c>
      <c r="D36" t="n">
        <v>227</v>
      </c>
      <c r="E36" t="n">
        <v>0</v>
      </c>
      <c r="F36" t="n">
        <v>13</v>
      </c>
    </row>
    <row r="37">
      <c r="B37" t="inlineStr">
        <is>
          <t>SADIS SARL</t>
        </is>
      </c>
      <c r="C37" t="n">
        <v>623</v>
      </c>
      <c r="D37" t="n">
        <v>415</v>
      </c>
      <c r="E37" t="n">
        <v>260</v>
      </c>
      <c r="F37" t="n">
        <v>1</v>
      </c>
    </row>
    <row r="38">
      <c r="B38" t="inlineStr">
        <is>
          <t>SOA</t>
        </is>
      </c>
      <c r="C38" t="n">
        <v>34</v>
      </c>
      <c r="D38" t="n">
        <v>0</v>
      </c>
      <c r="E38" t="n">
        <v>0</v>
      </c>
      <c r="F38" t="n">
        <v>0</v>
      </c>
    </row>
    <row r="39">
      <c r="B39" t="inlineStr">
        <is>
          <t>SOCLADIS</t>
        </is>
      </c>
      <c r="C39" t="n">
        <v>55</v>
      </c>
      <c r="D39" t="n">
        <v>12</v>
      </c>
      <c r="E39" t="n">
        <v>0</v>
      </c>
      <c r="F39" t="n">
        <v>0</v>
      </c>
    </row>
    <row r="40">
      <c r="B40" t="inlineStr">
        <is>
          <t>SUNCAM</t>
        </is>
      </c>
      <c r="C40" t="n">
        <v>894</v>
      </c>
      <c r="D40" t="n">
        <v>832</v>
      </c>
      <c r="E40" t="n">
        <v>339</v>
      </c>
      <c r="F40" t="n">
        <v>23</v>
      </c>
    </row>
  </sheetData>
  <mergeCells count="1">
    <mergeCell ref="B2:L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21" customWidth="1" min="3" max="3"/>
    <col width="19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15" customHeight="1"/>
    <row r="2" ht="32" customHeight="1">
      <c r="B2" s="1" t="inlineStr">
        <is>
          <t>Détail Ventes MUX — Avril 2026</t>
        </is>
      </c>
    </row>
    <row r="3" ht="8" customHeight="1"/>
    <row r="4" ht="28" customHeight="1">
      <c r="B4" s="5" t="inlineStr">
        <is>
          <t>Distributeur</t>
        </is>
      </c>
      <c r="C4" s="5" t="inlineStr">
        <is>
          <t>MUX MOJITO</t>
        </is>
      </c>
      <c r="D4" s="5" t="inlineStr">
        <is>
          <t>MUX WISKO MIX</t>
        </is>
      </c>
      <c r="E4" s="5" t="inlineStr">
        <is>
          <t>MUX HERBAL MIX</t>
        </is>
      </c>
      <c r="F4" s="5" t="inlineStr">
        <is>
          <t>MUX GINTO MIX</t>
        </is>
      </c>
      <c r="G4" s="5" t="inlineStr">
        <is>
          <t>MUX MARGARITA</t>
        </is>
      </c>
      <c r="H4" s="5" t="inlineStr">
        <is>
          <t>TOTAL</t>
        </is>
      </c>
    </row>
    <row r="5" ht="22" customHeight="1">
      <c r="B5" s="6" t="inlineStr">
        <is>
          <t>EDAIDJO</t>
        </is>
      </c>
      <c r="C5" s="7" t="n">
        <v>32</v>
      </c>
      <c r="D5" s="7" t="n">
        <v>130</v>
      </c>
      <c r="E5" s="7" t="n">
        <v>1</v>
      </c>
      <c r="F5" s="7" t="n">
        <v>96</v>
      </c>
      <c r="G5" s="7" t="n">
        <v>57</v>
      </c>
      <c r="H5" s="7" t="n">
        <v>316</v>
      </c>
    </row>
    <row r="6" ht="22" customHeight="1">
      <c r="B6" s="9" t="inlineStr">
        <is>
          <t>ETIFA</t>
        </is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</row>
    <row r="7" ht="22" customHeight="1">
      <c r="B7" s="6" t="inlineStr">
        <is>
          <t>SOCLADIS</t>
        </is>
      </c>
      <c r="C7" s="7" t="n">
        <v>14</v>
      </c>
      <c r="D7" s="7" t="n">
        <v>27</v>
      </c>
      <c r="E7" s="7" t="n">
        <v>1</v>
      </c>
      <c r="F7" s="7" t="n">
        <v>5</v>
      </c>
      <c r="G7" s="7" t="n">
        <v>8</v>
      </c>
      <c r="H7" s="7" t="n">
        <v>55</v>
      </c>
    </row>
    <row r="8" ht="22" customHeight="1">
      <c r="B8" s="9" t="inlineStr">
        <is>
          <t>LAMARC</t>
        </is>
      </c>
      <c r="C8" s="10" t="n">
        <v>105</v>
      </c>
      <c r="D8" s="10" t="n">
        <v>204</v>
      </c>
      <c r="E8" s="10" t="n">
        <v>6</v>
      </c>
      <c r="F8" s="10" t="n">
        <v>106</v>
      </c>
      <c r="G8" s="10" t="n">
        <v>107</v>
      </c>
      <c r="H8" s="10" t="n">
        <v>528</v>
      </c>
    </row>
    <row r="9" ht="22" customHeight="1">
      <c r="B9" s="6" t="inlineStr">
        <is>
          <t>SUNCAM</t>
        </is>
      </c>
      <c r="C9" s="7" t="n">
        <v>179</v>
      </c>
      <c r="D9" s="7" t="n">
        <v>450</v>
      </c>
      <c r="E9" s="7" t="n">
        <v>58</v>
      </c>
      <c r="F9" s="7" t="n">
        <v>90</v>
      </c>
      <c r="G9" s="7" t="n">
        <v>117</v>
      </c>
      <c r="H9" s="7" t="n">
        <v>894</v>
      </c>
    </row>
    <row r="10" ht="22" customHeight="1">
      <c r="B10" s="9" t="inlineStr">
        <is>
          <t>ESSOS</t>
        </is>
      </c>
      <c r="C10" s="10" t="n">
        <v>15</v>
      </c>
      <c r="D10" s="10" t="n">
        <v>19</v>
      </c>
      <c r="E10" s="10" t="n">
        <v>6</v>
      </c>
      <c r="F10" s="10" t="n">
        <v>10</v>
      </c>
      <c r="G10" s="10" t="n">
        <v>11</v>
      </c>
      <c r="H10" s="10" t="n">
        <v>61</v>
      </c>
    </row>
    <row r="11" ht="22" customHeight="1">
      <c r="B11" s="6" t="inlineStr">
        <is>
          <t>ETS TSALAF</t>
        </is>
      </c>
      <c r="C11" s="7" t="n">
        <v>80</v>
      </c>
      <c r="D11" s="7" t="n">
        <v>345</v>
      </c>
      <c r="E11" s="7" t="n">
        <v>76</v>
      </c>
      <c r="F11" s="7" t="n">
        <v>220</v>
      </c>
      <c r="G11" s="7" t="n">
        <v>98</v>
      </c>
      <c r="H11" s="7" t="n">
        <v>819</v>
      </c>
    </row>
    <row r="12" ht="22" customHeight="1">
      <c r="B12" s="9" t="inlineStr">
        <is>
          <t>SADIS SARL</t>
        </is>
      </c>
      <c r="C12" s="10" t="n">
        <v>128</v>
      </c>
      <c r="D12" s="10" t="n">
        <v>241</v>
      </c>
      <c r="E12" s="10" t="n">
        <v>62</v>
      </c>
      <c r="F12" s="10" t="n">
        <v>93</v>
      </c>
      <c r="G12" s="10" t="n">
        <v>99</v>
      </c>
      <c r="H12" s="10" t="n">
        <v>623</v>
      </c>
    </row>
    <row r="13" ht="22" customHeight="1">
      <c r="B13" s="6" t="inlineStr">
        <is>
          <t>BAFIA</t>
        </is>
      </c>
      <c r="C13" s="7" t="n">
        <v>2</v>
      </c>
      <c r="D13" s="7" t="n">
        <v>15</v>
      </c>
      <c r="E13" s="7" t="n">
        <v>5</v>
      </c>
      <c r="F13" s="7" t="n">
        <v>8</v>
      </c>
      <c r="G13" s="7" t="n">
        <v>2</v>
      </c>
      <c r="H13" s="7" t="n">
        <v>32</v>
      </c>
    </row>
    <row r="14" ht="22" customHeight="1">
      <c r="B14" s="9" t="inlineStr">
        <is>
          <t>SOA</t>
        </is>
      </c>
      <c r="C14" s="10" t="n">
        <v>4</v>
      </c>
      <c r="D14" s="10" t="n">
        <v>0</v>
      </c>
      <c r="E14" s="10" t="n">
        <v>1</v>
      </c>
      <c r="F14" s="10" t="n">
        <v>24</v>
      </c>
      <c r="G14" s="10" t="n">
        <v>5</v>
      </c>
      <c r="H14" s="10" t="n">
        <v>34</v>
      </c>
    </row>
    <row r="15" ht="22" customHeight="1">
      <c r="B15" s="6" t="inlineStr">
        <is>
          <t>OBALA</t>
        </is>
      </c>
      <c r="C15" s="7" t="n">
        <v>7</v>
      </c>
      <c r="D15" s="7" t="n">
        <v>22</v>
      </c>
      <c r="E15" s="7" t="n">
        <v>11</v>
      </c>
      <c r="F15" s="7" t="n">
        <v>15</v>
      </c>
      <c r="G15" s="7" t="n">
        <v>10</v>
      </c>
      <c r="H15" s="7" t="n">
        <v>65</v>
      </c>
    </row>
    <row r="16" ht="26" customHeight="1">
      <c r="B16" s="12" t="inlineStr">
        <is>
          <t>TOTAL</t>
        </is>
      </c>
      <c r="C16" s="13" t="n">
        <v>566</v>
      </c>
      <c r="D16" s="13" t="n">
        <v>1453</v>
      </c>
      <c r="E16" s="13" t="n">
        <v>227</v>
      </c>
      <c r="F16" s="13" t="n">
        <v>667</v>
      </c>
      <c r="G16" s="13" t="n">
        <v>514</v>
      </c>
      <c r="H16" s="13" t="n">
        <v>3427</v>
      </c>
    </row>
    <row r="17"/>
    <row r="18">
      <c r="B18" s="15" t="inlineStr">
        <is>
          <t>OBJECTIF</t>
        </is>
      </c>
      <c r="C18" s="16" t="n">
        <v>4118.4</v>
      </c>
      <c r="D18" s="16" t="n">
        <v>4680</v>
      </c>
      <c r="E18" s="16" t="n">
        <v>2995.2</v>
      </c>
      <c r="F18" s="16" t="n">
        <v>3744</v>
      </c>
      <c r="G18" s="16" t="n">
        <v>3182.4</v>
      </c>
      <c r="H18" s="16" t="n">
        <v>18720</v>
      </c>
    </row>
    <row r="19">
      <c r="B19" s="15" t="inlineStr">
        <is>
          <t>TAUX DE RÉALISATION</t>
        </is>
      </c>
      <c r="C19" s="17" t="n">
        <v>0.1374321131310445</v>
      </c>
      <c r="D19" s="17" t="n">
        <v>0.310470312957383</v>
      </c>
      <c r="E19" s="17" t="n">
        <v>0.07578798288167361</v>
      </c>
      <c r="F19" s="17" t="n">
        <v>0.1781518399368328</v>
      </c>
      <c r="G19" s="17" t="n">
        <v>0.1615134416218927</v>
      </c>
      <c r="H19" s="17" t="n">
        <v>0.1830663734523316</v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21" customWidth="1" min="3" max="3"/>
    <col width="21" customWidth="1" min="4" max="4"/>
    <col width="19" customWidth="1" min="5" max="5"/>
    <col width="21" customWidth="1" min="6" max="6"/>
    <col width="21" customWidth="1" min="7" max="7"/>
    <col width="21" customWidth="1" min="8" max="8"/>
  </cols>
  <sheetData>
    <row r="1" ht="15" customHeight="1"/>
    <row r="2" ht="32" customHeight="1">
      <c r="B2" s="1" t="inlineStr">
        <is>
          <t>Détail Ventes MUX — Mai 2026</t>
        </is>
      </c>
    </row>
    <row r="3" ht="8" customHeight="1"/>
    <row r="4" ht="28" customHeight="1">
      <c r="B4" s="5" t="inlineStr">
        <is>
          <t>Distributeur</t>
        </is>
      </c>
      <c r="C4" s="5" t="inlineStr">
        <is>
          <t>MUX MOJITO</t>
        </is>
      </c>
      <c r="D4" s="5" t="inlineStr">
        <is>
          <t>MUX WISKO MIX</t>
        </is>
      </c>
      <c r="E4" s="5" t="inlineStr">
        <is>
          <t>MUX HERBAL MIX</t>
        </is>
      </c>
      <c r="F4" s="5" t="inlineStr">
        <is>
          <t>MUX GINTO MIX</t>
        </is>
      </c>
      <c r="G4" s="5" t="inlineStr">
        <is>
          <t>MUX MARGARITA</t>
        </is>
      </c>
      <c r="H4" s="5" t="inlineStr">
        <is>
          <t>TOTAL</t>
        </is>
      </c>
    </row>
    <row r="5" ht="22" customHeight="1">
      <c r="B5" s="6" t="inlineStr">
        <is>
          <t>EDAIDJO</t>
        </is>
      </c>
      <c r="C5" s="7" t="n">
        <v>53</v>
      </c>
      <c r="D5" s="7" t="n">
        <v>130</v>
      </c>
      <c r="E5" s="7" t="n">
        <v>0</v>
      </c>
      <c r="F5" s="7" t="n">
        <v>78</v>
      </c>
      <c r="G5" s="7" t="n">
        <v>52</v>
      </c>
      <c r="H5" s="7" t="n">
        <v>313</v>
      </c>
    </row>
    <row r="6" ht="22" customHeight="1">
      <c r="B6" s="9" t="inlineStr">
        <is>
          <t>ETIFA</t>
        </is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</row>
    <row r="7" ht="22" customHeight="1">
      <c r="B7" s="6" t="inlineStr">
        <is>
          <t>SOCLADIS</t>
        </is>
      </c>
      <c r="C7" s="7" t="n">
        <v>5</v>
      </c>
      <c r="D7" s="7" t="n">
        <v>0</v>
      </c>
      <c r="E7" s="7" t="n">
        <v>1</v>
      </c>
      <c r="F7" s="7" t="n">
        <v>2</v>
      </c>
      <c r="G7" s="7" t="n">
        <v>4</v>
      </c>
      <c r="H7" s="7" t="n">
        <v>12</v>
      </c>
    </row>
    <row r="8" ht="22" customHeight="1">
      <c r="B8" s="9" t="inlineStr">
        <is>
          <t>LAMARC</t>
        </is>
      </c>
      <c r="C8" s="10" t="n">
        <v>47</v>
      </c>
      <c r="D8" s="10" t="n">
        <v>160</v>
      </c>
      <c r="E8" s="10" t="n">
        <v>33</v>
      </c>
      <c r="F8" s="10" t="n">
        <v>22</v>
      </c>
      <c r="G8" s="10" t="n">
        <v>6</v>
      </c>
      <c r="H8" s="10" t="n">
        <v>268</v>
      </c>
    </row>
    <row r="9" ht="22" customHeight="1">
      <c r="B9" s="6" t="inlineStr">
        <is>
          <t>SUNCAM</t>
        </is>
      </c>
      <c r="C9" s="7" t="n">
        <v>189</v>
      </c>
      <c r="D9" s="7" t="n">
        <v>379</v>
      </c>
      <c r="E9" s="7" t="n">
        <v>70</v>
      </c>
      <c r="F9" s="7" t="n">
        <v>109</v>
      </c>
      <c r="G9" s="7" t="n">
        <v>85</v>
      </c>
      <c r="H9" s="7" t="n">
        <v>832</v>
      </c>
    </row>
    <row r="10" ht="22" customHeight="1">
      <c r="B10" s="9" t="inlineStr">
        <is>
          <t>ESSOS</t>
        </is>
      </c>
      <c r="C10" s="10" t="n">
        <v>7</v>
      </c>
      <c r="D10" s="10" t="n">
        <v>9</v>
      </c>
      <c r="E10" s="10" t="n">
        <v>2</v>
      </c>
      <c r="F10" s="10" t="n">
        <v>2</v>
      </c>
      <c r="G10" s="10" t="n">
        <v>2</v>
      </c>
      <c r="H10" s="10" t="n">
        <v>22</v>
      </c>
    </row>
    <row r="11" ht="22" customHeight="1">
      <c r="B11" s="6" t="inlineStr">
        <is>
          <t>ETS TSALAF</t>
        </is>
      </c>
      <c r="C11" s="7" t="n">
        <v>5</v>
      </c>
      <c r="D11" s="7" t="n">
        <v>87</v>
      </c>
      <c r="E11" s="7" t="n">
        <v>37</v>
      </c>
      <c r="F11" s="7" t="n">
        <v>68</v>
      </c>
      <c r="G11" s="7" t="n">
        <v>4</v>
      </c>
      <c r="H11" s="7" t="n">
        <v>201</v>
      </c>
    </row>
    <row r="12" ht="22" customHeight="1">
      <c r="B12" s="9" t="inlineStr">
        <is>
          <t>SADIS SARL</t>
        </is>
      </c>
      <c r="C12" s="10" t="n">
        <v>75</v>
      </c>
      <c r="D12" s="10" t="n">
        <v>187</v>
      </c>
      <c r="E12" s="10" t="n">
        <v>28</v>
      </c>
      <c r="F12" s="10" t="n">
        <v>77</v>
      </c>
      <c r="G12" s="10" t="n">
        <v>48</v>
      </c>
      <c r="H12" s="10" t="n">
        <v>415</v>
      </c>
    </row>
    <row r="13" ht="22" customHeight="1">
      <c r="B13" s="6" t="inlineStr">
        <is>
          <t>BAFIA</t>
        </is>
      </c>
      <c r="C13" s="7" t="n">
        <v>3</v>
      </c>
      <c r="D13" s="7" t="n">
        <v>26</v>
      </c>
      <c r="E13" s="7" t="n">
        <v>3</v>
      </c>
      <c r="F13" s="7" t="n">
        <v>9</v>
      </c>
      <c r="G13" s="7" t="n">
        <v>7</v>
      </c>
      <c r="H13" s="7" t="n">
        <v>48</v>
      </c>
    </row>
    <row r="14" ht="22" customHeight="1">
      <c r="B14" s="9" t="inlineStr">
        <is>
          <t>SOA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</row>
    <row r="15" ht="22" customHeight="1">
      <c r="B15" s="6" t="inlineStr">
        <is>
          <t>OBALA</t>
        </is>
      </c>
      <c r="C15" s="7" t="n">
        <v>57</v>
      </c>
      <c r="D15" s="7" t="n">
        <v>70</v>
      </c>
      <c r="E15" s="7" t="n">
        <v>27</v>
      </c>
      <c r="F15" s="7" t="n">
        <v>43</v>
      </c>
      <c r="G15" s="7" t="n">
        <v>30</v>
      </c>
      <c r="H15" s="7" t="n">
        <v>227</v>
      </c>
    </row>
    <row r="16" ht="26" customHeight="1">
      <c r="B16" s="12" t="inlineStr">
        <is>
          <t>TOTAL</t>
        </is>
      </c>
      <c r="C16" s="13" t="n">
        <v>441</v>
      </c>
      <c r="D16" s="13" t="n">
        <v>1048</v>
      </c>
      <c r="E16" s="13" t="n">
        <v>201</v>
      </c>
      <c r="F16" s="13" t="n">
        <v>410</v>
      </c>
      <c r="G16" s="13" t="n">
        <v>238</v>
      </c>
      <c r="H16" s="13" t="n">
        <v>2338</v>
      </c>
    </row>
    <row r="17"/>
    <row r="18">
      <c r="B18" s="15" t="inlineStr">
        <is>
          <t>OBJECTIF</t>
        </is>
      </c>
      <c r="C18" s="16" t="n">
        <v>4118.4</v>
      </c>
      <c r="D18" s="16" t="n">
        <v>4680</v>
      </c>
      <c r="E18" s="16" t="n">
        <v>2995.2</v>
      </c>
      <c r="F18" s="16" t="n">
        <v>3744</v>
      </c>
      <c r="G18" s="16" t="n">
        <v>3182.4</v>
      </c>
      <c r="H18" s="16" t="n">
        <v>18720</v>
      </c>
    </row>
    <row r="19">
      <c r="B19" s="15" t="inlineStr">
        <is>
          <t>TAUX DE RÉALISATION</t>
        </is>
      </c>
      <c r="C19" s="17" t="n">
        <v>0.1070804980402661</v>
      </c>
      <c r="D19" s="17" t="n">
        <v>0.2239317880105556</v>
      </c>
      <c r="E19" s="17" t="n">
        <v>0.067107420965711</v>
      </c>
      <c r="F19" s="17" t="n">
        <v>0.1095086272475284</v>
      </c>
      <c r="G19" s="17" t="n">
        <v>0.07478637958367793</v>
      </c>
      <c r="H19" s="17" t="n">
        <v>0.1248932539047422</v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21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</cols>
  <sheetData>
    <row r="1" ht="15" customHeight="1"/>
    <row r="2" ht="32" customHeight="1">
      <c r="B2" s="1" t="inlineStr">
        <is>
          <t>Détail Ventes MUX — Juin 2026</t>
        </is>
      </c>
    </row>
    <row r="3" ht="8" customHeight="1"/>
    <row r="4" ht="28" customHeight="1">
      <c r="B4" s="5" t="inlineStr">
        <is>
          <t>Distributeur</t>
        </is>
      </c>
      <c r="C4" s="5" t="inlineStr">
        <is>
          <t>MUX MOJITO</t>
        </is>
      </c>
      <c r="D4" s="5" t="inlineStr">
        <is>
          <t>MUX WISKO MIX</t>
        </is>
      </c>
      <c r="E4" s="5" t="inlineStr">
        <is>
          <t>MUX HERBAL MIX</t>
        </is>
      </c>
      <c r="F4" s="5" t="inlineStr">
        <is>
          <t>MUX GINTO MIX</t>
        </is>
      </c>
      <c r="G4" s="5" t="inlineStr">
        <is>
          <t>MUX MARGARITA</t>
        </is>
      </c>
      <c r="H4" s="5" t="inlineStr">
        <is>
          <t>TOTAL</t>
        </is>
      </c>
    </row>
    <row r="5" ht="22" customHeight="1">
      <c r="B5" s="6" t="inlineStr">
        <is>
          <t>EDAIDJO</t>
        </is>
      </c>
      <c r="C5" s="7" t="n">
        <v>14</v>
      </c>
      <c r="D5" s="7" t="n">
        <v>36</v>
      </c>
      <c r="E5" s="7" t="n">
        <v>7</v>
      </c>
      <c r="F5" s="7" t="n">
        <v>14</v>
      </c>
      <c r="G5" s="7" t="n">
        <v>8</v>
      </c>
      <c r="H5" s="7" t="n">
        <v>79</v>
      </c>
    </row>
    <row r="6" ht="22" customHeight="1">
      <c r="B6" s="9" t="inlineStr">
        <is>
          <t>LAMARC</t>
        </is>
      </c>
      <c r="C6" s="10" t="n">
        <v>54</v>
      </c>
      <c r="D6" s="10" t="n">
        <v>40</v>
      </c>
      <c r="E6" s="10" t="n">
        <v>19</v>
      </c>
      <c r="F6" s="10" t="n">
        <v>9</v>
      </c>
      <c r="G6" s="10" t="n">
        <v>41</v>
      </c>
      <c r="H6" s="10" t="n">
        <v>163</v>
      </c>
    </row>
    <row r="7" ht="22" customHeight="1">
      <c r="B7" s="6" t="inlineStr">
        <is>
          <t>ETIFA SARL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</row>
    <row r="8" ht="22" customHeight="1">
      <c r="B8" s="9" t="inlineStr">
        <is>
          <t>SOCLADIS</t>
        </is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</row>
    <row r="9" ht="22" customHeight="1">
      <c r="B9" s="6" t="inlineStr">
        <is>
          <t>SUNCAM</t>
        </is>
      </c>
      <c r="C9" s="7" t="n">
        <v>98</v>
      </c>
      <c r="D9" s="7" t="n">
        <v>134</v>
      </c>
      <c r="E9" s="7" t="n">
        <v>34</v>
      </c>
      <c r="F9" s="7" t="n">
        <v>42</v>
      </c>
      <c r="G9" s="7" t="n">
        <v>31</v>
      </c>
      <c r="H9" s="7" t="n">
        <v>339</v>
      </c>
    </row>
    <row r="10" ht="22" customHeight="1">
      <c r="B10" s="9" t="inlineStr">
        <is>
          <t>ESSOS</t>
        </is>
      </c>
      <c r="C10" s="10" t="n">
        <v>2</v>
      </c>
      <c r="D10" s="10" t="n">
        <v>9</v>
      </c>
      <c r="E10" s="10" t="n">
        <v>1</v>
      </c>
      <c r="F10" s="10" t="n">
        <v>5</v>
      </c>
      <c r="G10" s="10" t="n">
        <v>2</v>
      </c>
      <c r="H10" s="10" t="n">
        <v>19</v>
      </c>
    </row>
    <row r="11" ht="22" customHeight="1">
      <c r="B11" s="6" t="inlineStr">
        <is>
          <t>ETS TSALAF</t>
        </is>
      </c>
      <c r="C11" s="7" t="n">
        <v>18</v>
      </c>
      <c r="D11" s="7" t="n">
        <v>27</v>
      </c>
      <c r="E11" s="7" t="n">
        <v>9</v>
      </c>
      <c r="F11" s="7" t="n">
        <v>10</v>
      </c>
      <c r="G11" s="7" t="n">
        <v>10</v>
      </c>
      <c r="H11" s="7" t="n">
        <v>74</v>
      </c>
    </row>
    <row r="12" ht="22" customHeight="1">
      <c r="B12" s="9" t="inlineStr">
        <is>
          <t>SADIS SARL</t>
        </is>
      </c>
      <c r="C12" s="10" t="n">
        <v>17</v>
      </c>
      <c r="D12" s="10" t="n">
        <v>179</v>
      </c>
      <c r="E12" s="10" t="n">
        <v>16</v>
      </c>
      <c r="F12" s="10" t="n">
        <v>46</v>
      </c>
      <c r="G12" s="10" t="n">
        <v>2</v>
      </c>
      <c r="H12" s="10" t="n">
        <v>260</v>
      </c>
    </row>
    <row r="13" ht="22" customHeight="1">
      <c r="B13" s="6" t="inlineStr">
        <is>
          <t>DISCOM OBALA</t>
        </is>
      </c>
      <c r="C13" s="7" t="n">
        <v>13</v>
      </c>
      <c r="D13" s="7" t="n">
        <v>0</v>
      </c>
      <c r="E13" s="7" t="n">
        <v>4</v>
      </c>
      <c r="F13" s="7" t="n">
        <v>3</v>
      </c>
      <c r="G13" s="7" t="n">
        <v>6</v>
      </c>
      <c r="H13" s="7" t="n">
        <v>26</v>
      </c>
    </row>
    <row r="14" ht="22" customHeight="1">
      <c r="B14" s="9" t="inlineStr">
        <is>
          <t>DISCOM BAFIA</t>
        </is>
      </c>
      <c r="C14" s="10" t="n">
        <v>11</v>
      </c>
      <c r="D14" s="10" t="n">
        <v>16</v>
      </c>
      <c r="E14" s="10" t="n">
        <v>8</v>
      </c>
      <c r="F14" s="10" t="n">
        <v>12</v>
      </c>
      <c r="G14" s="10" t="n">
        <v>9</v>
      </c>
      <c r="H14" s="10" t="n">
        <v>56</v>
      </c>
    </row>
    <row r="15" ht="22" customHeight="1">
      <c r="B15" s="6" t="inlineStr">
        <is>
          <t>DISCOM SOA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</row>
    <row r="16" ht="26" customHeight="1">
      <c r="B16" s="12" t="inlineStr">
        <is>
          <t>TOTAL</t>
        </is>
      </c>
      <c r="C16" s="13" t="n">
        <v>227</v>
      </c>
      <c r="D16" s="13" t="n">
        <v>441</v>
      </c>
      <c r="E16" s="13" t="n">
        <v>98</v>
      </c>
      <c r="F16" s="13" t="n">
        <v>141</v>
      </c>
      <c r="G16" s="13" t="n">
        <v>109</v>
      </c>
      <c r="H16" s="13" t="n">
        <v>1016</v>
      </c>
    </row>
    <row r="17"/>
    <row r="18">
      <c r="B18" s="15" t="inlineStr">
        <is>
          <t>OBJECTIF</t>
        </is>
      </c>
      <c r="C18" s="16" t="n">
        <v>4118.4</v>
      </c>
      <c r="D18" s="16" t="n">
        <v>4680</v>
      </c>
      <c r="E18" s="16" t="n">
        <v>2995.2</v>
      </c>
      <c r="F18" s="16" t="n">
        <v>3744</v>
      </c>
      <c r="G18" s="16" t="n">
        <v>3182.4</v>
      </c>
      <c r="H18" s="16" t="n">
        <v>18720</v>
      </c>
    </row>
    <row r="19">
      <c r="B19" s="15" t="inlineStr">
        <is>
          <t>TAUX DE RÉALISATION</t>
        </is>
      </c>
      <c r="C19" s="17" t="n">
        <v>0.05511853300485355</v>
      </c>
      <c r="D19" s="17" t="n">
        <v>0.0942308382754342</v>
      </c>
      <c r="E19" s="17" t="n">
        <v>0.0327190410678591</v>
      </c>
      <c r="F19" s="17" t="n">
        <v>0.03766028400463781</v>
      </c>
      <c r="G19" s="17" t="n">
        <v>0.03425090493538191</v>
      </c>
      <c r="H19" s="17" t="n">
        <v>0.05427354404072627</v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22" customWidth="1" min="3" max="3"/>
    <col width="22" customWidth="1" min="4" max="4"/>
    <col width="23" customWidth="1" min="5" max="5"/>
    <col width="21" customWidth="1" min="6" max="6"/>
    <col width="23" customWidth="1" min="7" max="7"/>
    <col width="23" customWidth="1" min="8" max="8"/>
  </cols>
  <sheetData>
    <row r="1" ht="15" customHeight="1"/>
    <row r="2" ht="32" customHeight="1">
      <c r="B2" s="1" t="inlineStr">
        <is>
          <t>Détail Ventes MUX — Juillet MTD 2026</t>
        </is>
      </c>
    </row>
    <row r="3" ht="8" customHeight="1"/>
    <row r="4" ht="28" customHeight="1">
      <c r="B4" s="5" t="inlineStr">
        <is>
          <t>Distributeur</t>
        </is>
      </c>
      <c r="C4" s="5" t="inlineStr">
        <is>
          <t>MUX MOJITO</t>
        </is>
      </c>
      <c r="D4" s="5" t="inlineStr">
        <is>
          <t>MUX WISKO MIX</t>
        </is>
      </c>
      <c r="E4" s="5" t="inlineStr">
        <is>
          <t>MUX HERBAL MIX</t>
        </is>
      </c>
      <c r="F4" s="5" t="inlineStr">
        <is>
          <t>MUX GINTO MIX</t>
        </is>
      </c>
      <c r="G4" s="5" t="inlineStr">
        <is>
          <t>MUX MARGARITA</t>
        </is>
      </c>
      <c r="H4" s="5" t="inlineStr">
        <is>
          <t>TOTAL</t>
        </is>
      </c>
    </row>
    <row r="5" ht="22" customHeight="1">
      <c r="B5" s="6" t="inlineStr">
        <is>
          <t>SUNCAM</t>
        </is>
      </c>
      <c r="C5" s="7" t="n">
        <v>2</v>
      </c>
      <c r="D5" s="7" t="n">
        <v>9</v>
      </c>
      <c r="E5" s="7" t="n">
        <v>0</v>
      </c>
      <c r="F5" s="7" t="n">
        <v>10</v>
      </c>
      <c r="G5" s="7" t="n">
        <v>2</v>
      </c>
      <c r="H5" s="7" t="n">
        <v>23</v>
      </c>
    </row>
    <row r="6" ht="22" customHeight="1">
      <c r="B6" s="9" t="inlineStr">
        <is>
          <t>ETS MASSAYO</t>
        </is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</row>
    <row r="7" ht="22" customHeight="1">
      <c r="B7" s="6" t="inlineStr">
        <is>
          <t>EDAIDJO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</row>
    <row r="8" ht="22" customHeight="1">
      <c r="B8" s="9" t="inlineStr">
        <is>
          <t>LAMARC</t>
        </is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</row>
    <row r="9" ht="22" customHeight="1">
      <c r="B9" s="6" t="inlineStr">
        <is>
          <t>ETS TSALAF</t>
        </is>
      </c>
      <c r="C9" s="7" t="n">
        <v>0</v>
      </c>
      <c r="D9" s="7" t="n">
        <v>1</v>
      </c>
      <c r="E9" s="7" t="n">
        <v>0</v>
      </c>
      <c r="F9" s="7" t="n">
        <v>1</v>
      </c>
      <c r="G9" s="7" t="n">
        <v>0</v>
      </c>
      <c r="H9" s="7" t="n">
        <v>2</v>
      </c>
    </row>
    <row r="10" ht="22" customHeight="1">
      <c r="B10" s="9" t="inlineStr">
        <is>
          <t>ETIFA SARL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</row>
    <row r="11" ht="22" customHeight="1">
      <c r="B11" s="6" t="inlineStr">
        <is>
          <t>SOCLADIS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22" customHeight="1">
      <c r="B12" s="9" t="inlineStr">
        <is>
          <t>SADIS SARL</t>
        </is>
      </c>
      <c r="C12" s="10" t="n">
        <v>0</v>
      </c>
      <c r="D12" s="10" t="n">
        <v>1</v>
      </c>
      <c r="E12" s="10" t="n">
        <v>0</v>
      </c>
      <c r="F12" s="10" t="n">
        <v>0</v>
      </c>
      <c r="G12" s="10" t="n">
        <v>0</v>
      </c>
      <c r="H12" s="10" t="n">
        <v>1</v>
      </c>
    </row>
    <row r="13" ht="22" customHeight="1">
      <c r="B13" s="6" t="inlineStr">
        <is>
          <t>OBALA</t>
        </is>
      </c>
      <c r="C13" s="7" t="n">
        <v>3</v>
      </c>
      <c r="D13" s="7" t="n">
        <v>0</v>
      </c>
      <c r="E13" s="7" t="n">
        <v>3</v>
      </c>
      <c r="F13" s="7" t="n">
        <v>6</v>
      </c>
      <c r="G13" s="7" t="n">
        <v>1</v>
      </c>
      <c r="H13" s="7" t="n">
        <v>13</v>
      </c>
    </row>
    <row r="14" ht="22" customHeight="1">
      <c r="B14" s="9" t="inlineStr">
        <is>
          <t>SOA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</row>
    <row r="15" ht="22" customHeight="1">
      <c r="B15" s="6" t="inlineStr">
        <is>
          <t>BAFIA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</row>
    <row r="16" ht="26" customHeight="1">
      <c r="B16" s="12" t="inlineStr">
        <is>
          <t>TOTAL</t>
        </is>
      </c>
      <c r="C16" s="13" t="n">
        <v>5</v>
      </c>
      <c r="D16" s="13" t="n">
        <v>11</v>
      </c>
      <c r="E16" s="13" t="n">
        <v>3</v>
      </c>
      <c r="F16" s="13" t="n">
        <v>17</v>
      </c>
      <c r="G16" s="13" t="n">
        <v>3</v>
      </c>
      <c r="H16" s="13" t="n">
        <v>39</v>
      </c>
    </row>
    <row r="17"/>
    <row r="18">
      <c r="B18" s="15" t="inlineStr">
        <is>
          <t>OBJECTIF</t>
        </is>
      </c>
      <c r="C18" s="16" t="n">
        <v>2164.8</v>
      </c>
      <c r="D18" s="16" t="n">
        <v>2460</v>
      </c>
      <c r="E18" s="16" t="n">
        <v>1574.4</v>
      </c>
      <c r="F18" s="16" t="n">
        <v>1968</v>
      </c>
      <c r="G18" s="16" t="n">
        <v>1672.8</v>
      </c>
      <c r="H18" s="16" t="n">
        <v>9840</v>
      </c>
    </row>
    <row r="19">
      <c r="B19" s="15" t="inlineStr">
        <is>
          <t>TAUX DE RÉALISATION</t>
        </is>
      </c>
      <c r="C19" s="17" t="n">
        <v>0.002309682187730969</v>
      </c>
      <c r="D19" s="17" t="n">
        <v>0.004471544715447155</v>
      </c>
      <c r="E19" s="17" t="n">
        <v>0.001905487804878049</v>
      </c>
      <c r="F19" s="17" t="n">
        <v>0.00863821138211382</v>
      </c>
      <c r="G19" s="17" t="n">
        <v>0.001793400286944046</v>
      </c>
      <c r="H19" s="17" t="n">
        <v>0.003963414634146342</v>
      </c>
    </row>
  </sheetData>
  <mergeCells count="1"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" customWidth="1" min="2" max="2"/>
    <col width="22" customWidth="1" min="3" max="3"/>
    <col width="22" customWidth="1" min="4" max="4"/>
    <col width="23" customWidth="1" min="5" max="5"/>
    <col width="21" customWidth="1" min="6" max="6"/>
    <col width="23" customWidth="1" min="7" max="7"/>
    <col width="23" customWidth="1" min="8" max="8"/>
    <col width="8" customWidth="1" min="9" max="9"/>
    <col width="8" customWidth="1" min="10" max="10"/>
  </cols>
  <sheetData>
    <row r="1" ht="15" customHeight="1"/>
    <row r="2" ht="32" customHeight="1">
      <c r="B2" s="1" t="inlineStr">
        <is>
          <t>Tendances — Objectifs vs Réalisations vs Taux (4 mois)</t>
        </is>
      </c>
    </row>
    <row r="3" ht="8" customHeight="1"/>
    <row r="4" ht="28" customHeight="1">
      <c r="B4" s="5" t="inlineStr">
        <is>
          <t>Période</t>
        </is>
      </c>
      <c r="C4" s="5" t="inlineStr">
        <is>
          <t>MUX MOJITO</t>
        </is>
      </c>
      <c r="D4" s="5" t="inlineStr">
        <is>
          <t>MUX WISKO MIX</t>
        </is>
      </c>
      <c r="E4" s="5" t="inlineStr">
        <is>
          <t>MUX HERBAL MIX</t>
        </is>
      </c>
      <c r="F4" s="5" t="inlineStr">
        <is>
          <t>MUX GINTO MIX</t>
        </is>
      </c>
      <c r="G4" s="5" t="inlineStr">
        <is>
          <t>MUX MARGARITA</t>
        </is>
      </c>
      <c r="H4" s="5" t="inlineStr">
        <is>
          <t>TOTAL</t>
        </is>
      </c>
    </row>
    <row r="5" ht="22" customHeight="1">
      <c r="B5" s="6" t="inlineStr">
        <is>
          <t>Obj. Avril</t>
        </is>
      </c>
      <c r="C5" s="7" t="n">
        <v>4118.4</v>
      </c>
      <c r="D5" s="7" t="n">
        <v>4680</v>
      </c>
      <c r="E5" s="7" t="n">
        <v>2995.2</v>
      </c>
      <c r="F5" s="7" t="n">
        <v>3744</v>
      </c>
      <c r="G5" s="7" t="n">
        <v>3182.4</v>
      </c>
      <c r="H5" s="7" t="n">
        <v>18720</v>
      </c>
    </row>
    <row r="6" ht="22" customHeight="1">
      <c r="B6" s="9" t="inlineStr">
        <is>
          <t>Réalisé Avril</t>
        </is>
      </c>
      <c r="C6" s="10" t="n">
        <v>566</v>
      </c>
      <c r="D6" s="10" t="n">
        <v>1453</v>
      </c>
      <c r="E6" s="10" t="n">
        <v>227</v>
      </c>
      <c r="F6" s="10" t="n">
        <v>667</v>
      </c>
      <c r="G6" s="10" t="n">
        <v>514</v>
      </c>
      <c r="H6" s="10" t="n">
        <v>3427</v>
      </c>
    </row>
    <row r="7" ht="22" customHeight="1">
      <c r="B7" s="6" t="inlineStr">
        <is>
          <t>Obj. Mai</t>
        </is>
      </c>
      <c r="C7" s="7" t="n">
        <v>4118.4</v>
      </c>
      <c r="D7" s="7" t="n">
        <v>4680</v>
      </c>
      <c r="E7" s="7" t="n">
        <v>2995.2</v>
      </c>
      <c r="F7" s="7" t="n">
        <v>3744</v>
      </c>
      <c r="G7" s="7" t="n">
        <v>3182.4</v>
      </c>
      <c r="H7" s="7" t="n">
        <v>18720</v>
      </c>
    </row>
    <row r="8" ht="22" customHeight="1">
      <c r="B8" s="9" t="inlineStr">
        <is>
          <t>Réalisé Mai</t>
        </is>
      </c>
      <c r="C8" s="10" t="n">
        <v>441</v>
      </c>
      <c r="D8" s="10" t="n">
        <v>1048</v>
      </c>
      <c r="E8" s="10" t="n">
        <v>201</v>
      </c>
      <c r="F8" s="10" t="n">
        <v>410</v>
      </c>
      <c r="G8" s="10" t="n">
        <v>238</v>
      </c>
      <c r="H8" s="10" t="n">
        <v>2338</v>
      </c>
    </row>
    <row r="9" ht="22" customHeight="1">
      <c r="B9" s="6" t="inlineStr">
        <is>
          <t>Obj. Juin</t>
        </is>
      </c>
      <c r="C9" s="7" t="n">
        <v>4118.4</v>
      </c>
      <c r="D9" s="7" t="n">
        <v>4680</v>
      </c>
      <c r="E9" s="7" t="n">
        <v>2995.2</v>
      </c>
      <c r="F9" s="7" t="n">
        <v>3744</v>
      </c>
      <c r="G9" s="7" t="n">
        <v>3182.4</v>
      </c>
      <c r="H9" s="7" t="n">
        <v>18720</v>
      </c>
    </row>
    <row r="10" ht="22" customHeight="1">
      <c r="B10" s="9" t="inlineStr">
        <is>
          <t>Réalisé Juin</t>
        </is>
      </c>
      <c r="C10" s="10" t="n">
        <v>227</v>
      </c>
      <c r="D10" s="10" t="n">
        <v>441</v>
      </c>
      <c r="E10" s="10" t="n">
        <v>98</v>
      </c>
      <c r="F10" s="10" t="n">
        <v>141</v>
      </c>
      <c r="G10" s="10" t="n">
        <v>109</v>
      </c>
      <c r="H10" s="10" t="n">
        <v>1016</v>
      </c>
    </row>
    <row r="11" ht="22" customHeight="1">
      <c r="B11" s="6" t="inlineStr">
        <is>
          <t>Obj. Juillet</t>
        </is>
      </c>
      <c r="C11" s="7" t="n">
        <v>2164.8</v>
      </c>
      <c r="D11" s="7" t="n">
        <v>2460</v>
      </c>
      <c r="E11" s="7" t="n">
        <v>1574.4</v>
      </c>
      <c r="F11" s="7" t="n">
        <v>1968</v>
      </c>
      <c r="G11" s="7" t="n">
        <v>1672.8</v>
      </c>
      <c r="H11" s="7" t="n">
        <v>9840</v>
      </c>
    </row>
    <row r="12" ht="22" customHeight="1">
      <c r="B12" s="9" t="inlineStr">
        <is>
          <t>Réalisé Juil. MTD</t>
        </is>
      </c>
      <c r="C12" s="10" t="n">
        <v>5</v>
      </c>
      <c r="D12" s="10" t="n">
        <v>11</v>
      </c>
      <c r="E12" s="10" t="n">
        <v>3</v>
      </c>
      <c r="F12" s="10" t="n">
        <v>17</v>
      </c>
      <c r="G12" s="10" t="n">
        <v>3</v>
      </c>
      <c r="H12" s="10" t="n">
        <v>39</v>
      </c>
    </row>
    <row r="13">
      <c r="B13" s="18" t="inlineStr"/>
    </row>
    <row r="14">
      <c r="B14" s="15" t="inlineStr">
        <is>
          <t>Taux Réalisation</t>
        </is>
      </c>
      <c r="C14" s="19" t="inlineStr">
        <is>
          <t>MUX MOJITO</t>
        </is>
      </c>
      <c r="D14" s="19" t="inlineStr">
        <is>
          <t>MUX WISKO MIX</t>
        </is>
      </c>
      <c r="E14" s="19" t="inlineStr">
        <is>
          <t>MUX HERBAL MIX</t>
        </is>
      </c>
      <c r="F14" s="19" t="inlineStr">
        <is>
          <t>MUX GINTO MIX</t>
        </is>
      </c>
      <c r="G14" s="19" t="inlineStr">
        <is>
          <t>MUX MARGARITA</t>
        </is>
      </c>
      <c r="H14" s="19" t="inlineStr">
        <is>
          <t>TOTAL</t>
        </is>
      </c>
    </row>
    <row r="15" ht="22" customHeight="1">
      <c r="B15" s="6" t="inlineStr">
        <is>
          <t>Taux Avril</t>
        </is>
      </c>
      <c r="C15" s="8" t="n">
        <v>0.1374321131310445</v>
      </c>
      <c r="D15" s="8" t="n">
        <v>0.310470312957383</v>
      </c>
      <c r="E15" s="8" t="n">
        <v>0.07578798288167361</v>
      </c>
      <c r="F15" s="8" t="n">
        <v>0.1781518399368328</v>
      </c>
      <c r="G15" s="8" t="n">
        <v>0.1615134416218927</v>
      </c>
      <c r="H15" s="8" t="n">
        <v>0.1830663734523316</v>
      </c>
    </row>
    <row r="16" ht="22" customHeight="1">
      <c r="B16" s="9" t="inlineStr">
        <is>
          <t>Taux Mai</t>
        </is>
      </c>
      <c r="C16" s="11" t="n">
        <v>0.1070804980402661</v>
      </c>
      <c r="D16" s="11" t="n">
        <v>0.2239317880105556</v>
      </c>
      <c r="E16" s="11" t="n">
        <v>0.067107420965711</v>
      </c>
      <c r="F16" s="11" t="n">
        <v>0.1095086272475284</v>
      </c>
      <c r="G16" s="11" t="n">
        <v>0.07478637958367793</v>
      </c>
      <c r="H16" s="11" t="n">
        <v>0.1248932539047422</v>
      </c>
    </row>
    <row r="17" ht="22" customHeight="1">
      <c r="B17" s="6" t="inlineStr">
        <is>
          <t>Taux Juin</t>
        </is>
      </c>
      <c r="C17" s="8" t="n">
        <v>0.05511853300485355</v>
      </c>
      <c r="D17" s="8" t="n">
        <v>0.0942308382754342</v>
      </c>
      <c r="E17" s="8" t="n">
        <v>0.0327190410678591</v>
      </c>
      <c r="F17" s="8" t="n">
        <v>0.03766028400463781</v>
      </c>
      <c r="G17" s="8" t="n">
        <v>0.03425090493538191</v>
      </c>
      <c r="H17" s="8" t="n">
        <v>0.05427354404072627</v>
      </c>
    </row>
    <row r="18" ht="22" customHeight="1">
      <c r="B18" s="9" t="inlineStr">
        <is>
          <t>Taux Juil. MTD</t>
        </is>
      </c>
      <c r="C18" s="11" t="n">
        <v>0.002309682187730969</v>
      </c>
      <c r="D18" s="11" t="n">
        <v>0.004471544715447155</v>
      </c>
      <c r="E18" s="11" t="n">
        <v>0.001905487804878049</v>
      </c>
      <c r="F18" s="11" t="n">
        <v>0.00863821138211382</v>
      </c>
      <c r="G18" s="11" t="n">
        <v>0.001793400286944046</v>
      </c>
      <c r="H18" s="11" t="n">
        <v>0.003963414634146342</v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>
      <c r="B39" t="inlineStr">
        <is>
          <t>Période</t>
        </is>
      </c>
      <c r="C39" t="inlineStr">
        <is>
          <t>Total Ventes</t>
        </is>
      </c>
      <c r="D39" t="inlineStr">
        <is>
          <t>Objectif</t>
        </is>
      </c>
    </row>
    <row r="40">
      <c r="B40" t="inlineStr">
        <is>
          <t>Obj. Avril</t>
        </is>
      </c>
      <c r="C40" t="n">
        <v>18720</v>
      </c>
      <c r="D40" t="n">
        <v>18720</v>
      </c>
    </row>
    <row r="41">
      <c r="B41" t="inlineStr">
        <is>
          <t>Avril</t>
        </is>
      </c>
      <c r="C41" t="n">
        <v>3427</v>
      </c>
      <c r="D41" t="n">
        <v>18720</v>
      </c>
    </row>
    <row r="42">
      <c r="B42" t="inlineStr">
        <is>
          <t>Obj. Mai</t>
        </is>
      </c>
      <c r="C42" t="n">
        <v>18720</v>
      </c>
      <c r="D42" t="n">
        <v>18720</v>
      </c>
    </row>
    <row r="43">
      <c r="B43" t="inlineStr">
        <is>
          <t>Mai</t>
        </is>
      </c>
      <c r="C43" t="n">
        <v>2338</v>
      </c>
      <c r="D43" t="n">
        <v>18720</v>
      </c>
    </row>
    <row r="44">
      <c r="B44" t="inlineStr">
        <is>
          <t>Obj. Juin</t>
        </is>
      </c>
      <c r="C44" t="n">
        <v>18720</v>
      </c>
      <c r="D44" t="n">
        <v>18720</v>
      </c>
    </row>
    <row r="45">
      <c r="B45" t="inlineStr">
        <is>
          <t>Juin</t>
        </is>
      </c>
      <c r="C45" t="n">
        <v>1016</v>
      </c>
      <c r="D45" t="n">
        <v>18720</v>
      </c>
    </row>
    <row r="46">
      <c r="B46" t="inlineStr">
        <is>
          <t>Obj. Juillet</t>
        </is>
      </c>
      <c r="C46" t="n">
        <v>9840</v>
      </c>
      <c r="D46" t="n">
        <v>9840</v>
      </c>
    </row>
    <row r="47">
      <c r="B47" t="inlineStr">
        <is>
          <t>Juil. MTD</t>
        </is>
      </c>
      <c r="C47" t="n">
        <v>39</v>
      </c>
      <c r="D47" t="n">
        <v>9840</v>
      </c>
    </row>
  </sheetData>
  <mergeCells count="1"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K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20" customWidth="1" min="8" max="8"/>
    <col width="21" customWidth="1" min="9" max="9"/>
    <col width="20" customWidth="1" min="10" max="10"/>
    <col width="23" customWidth="1" min="11" max="11"/>
  </cols>
  <sheetData>
    <row r="1" ht="15" customHeight="1"/>
    <row r="2" ht="32" customHeight="1">
      <c r="B2" s="1" t="inlineStr">
        <is>
          <t>Classement des Distributeurs — Juin 2026</t>
        </is>
      </c>
    </row>
    <row r="3" ht="8" customHeight="1"/>
    <row r="4" ht="28" customHeight="1">
      <c r="B4" s="5" t="inlineStr">
        <is>
          <t>Rang</t>
        </is>
      </c>
      <c r="C4" s="5" t="inlineStr">
        <is>
          <t>Distributeur</t>
        </is>
      </c>
      <c r="D4" s="5" t="inlineStr">
        <is>
          <t>Avril</t>
        </is>
      </c>
      <c r="E4" s="5" t="inlineStr">
        <is>
          <t>Mai</t>
        </is>
      </c>
      <c r="F4" s="5" t="inlineStr">
        <is>
          <t>Juin</t>
        </is>
      </c>
      <c r="G4" s="5" t="inlineStr">
        <is>
          <t>Juil. MTD</t>
        </is>
      </c>
      <c r="H4" s="5" t="inlineStr">
        <is>
          <t>Obj. Juin</t>
        </is>
      </c>
      <c r="I4" s="5" t="inlineStr">
        <is>
          <t>Taux Juin</t>
        </is>
      </c>
      <c r="J4" s="5" t="inlineStr">
        <is>
          <t>Obj. Juil.</t>
        </is>
      </c>
      <c r="K4" s="5" t="inlineStr">
        <is>
          <t>Taux Juil.</t>
        </is>
      </c>
    </row>
    <row r="5" ht="22" customHeight="1">
      <c r="B5" s="20" t="n">
        <v>1</v>
      </c>
      <c r="C5" s="6" t="inlineStr">
        <is>
          <t>SUNCAM</t>
        </is>
      </c>
      <c r="D5" s="7" t="n">
        <v>894</v>
      </c>
      <c r="E5" s="7" t="n">
        <v>832</v>
      </c>
      <c r="F5" s="7" t="n">
        <v>339</v>
      </c>
      <c r="G5" s="7" t="n">
        <v>23</v>
      </c>
      <c r="H5" s="7" t="n">
        <v>8490.266063903289</v>
      </c>
      <c r="I5" s="8" t="n">
        <v>0.03992807733567647</v>
      </c>
      <c r="J5" s="7" t="n">
        <v>4462.440000000001</v>
      </c>
      <c r="K5" s="8" t="n">
        <v>0.005154130923889172</v>
      </c>
    </row>
    <row r="6" ht="22" customHeight="1">
      <c r="B6" s="21" t="n">
        <v>2</v>
      </c>
      <c r="C6" s="9" t="inlineStr">
        <is>
          <t>SADIS SARL</t>
        </is>
      </c>
      <c r="D6" s="10" t="n">
        <v>623</v>
      </c>
      <c r="E6" s="10" t="n">
        <v>415</v>
      </c>
      <c r="F6" s="10" t="n">
        <v>260</v>
      </c>
      <c r="G6" s="10" t="n">
        <v>1</v>
      </c>
      <c r="H6" s="10" t="n">
        <v>1624.998769061954</v>
      </c>
      <c r="I6" s="11" t="n">
        <v>0.1600001212001456</v>
      </c>
      <c r="J6" s="10" t="n">
        <v>854.112</v>
      </c>
      <c r="K6" s="11" t="n">
        <v>0.001170806638941965</v>
      </c>
    </row>
    <row r="7" ht="22" customHeight="1">
      <c r="B7" s="20" t="n">
        <v>3</v>
      </c>
      <c r="C7" s="6" t="inlineStr">
        <is>
          <t>LAMARC</t>
        </is>
      </c>
      <c r="D7" s="7" t="n">
        <v>528</v>
      </c>
      <c r="E7" s="7" t="n">
        <v>268</v>
      </c>
      <c r="F7" s="7" t="n">
        <v>163</v>
      </c>
      <c r="G7" s="7" t="n">
        <v>0</v>
      </c>
      <c r="H7" s="7" t="n">
        <v>1344.824409834513</v>
      </c>
      <c r="I7" s="8" t="n">
        <v>0.1212054144823694</v>
      </c>
      <c r="J7" s="7" t="n">
        <v>706.5120000000001</v>
      </c>
      <c r="K7" s="8" t="n">
        <v>0</v>
      </c>
    </row>
    <row r="8" ht="22" customHeight="1">
      <c r="B8" s="21" t="n">
        <v>4</v>
      </c>
      <c r="C8" s="9" t="inlineStr">
        <is>
          <t>EDAIDJO</t>
        </is>
      </c>
      <c r="D8" s="10" t="n">
        <v>316</v>
      </c>
      <c r="E8" s="10" t="n">
        <v>313</v>
      </c>
      <c r="F8" s="10" t="n">
        <v>79</v>
      </c>
      <c r="G8" s="10" t="n">
        <v>0</v>
      </c>
      <c r="H8" s="10" t="n">
        <v>1622.305887876897</v>
      </c>
      <c r="I8" s="11" t="n">
        <v>0.04869611864836839</v>
      </c>
      <c r="J8" s="10" t="n">
        <v>853.128</v>
      </c>
      <c r="K8" s="11" t="n">
        <v>0</v>
      </c>
    </row>
    <row r="9" ht="22" customHeight="1">
      <c r="B9" s="20" t="n">
        <v>5</v>
      </c>
      <c r="C9" s="6" t="inlineStr">
        <is>
          <t>ETS TSALAF</t>
        </is>
      </c>
      <c r="D9" s="7" t="n">
        <v>819</v>
      </c>
      <c r="E9" s="7" t="n">
        <v>201</v>
      </c>
      <c r="F9" s="7" t="n">
        <v>74</v>
      </c>
      <c r="G9" s="7" t="n">
        <v>2</v>
      </c>
      <c r="H9" s="7" t="n">
        <v>1603.43871979451</v>
      </c>
      <c r="I9" s="8" t="n">
        <v>0.04615081267931681</v>
      </c>
      <c r="J9" s="7" t="n">
        <v>843.288</v>
      </c>
      <c r="K9" s="8" t="n">
        <v>0.002371668990902278</v>
      </c>
    </row>
    <row r="10" ht="22" customHeight="1">
      <c r="B10" s="21" t="n">
        <v>6</v>
      </c>
      <c r="C10" s="9" t="inlineStr">
        <is>
          <t>DISCOM BAFIA</t>
        </is>
      </c>
      <c r="D10" s="10" t="n">
        <v>0</v>
      </c>
      <c r="E10" s="10" t="n">
        <v>0</v>
      </c>
      <c r="F10" s="10" t="n">
        <v>56</v>
      </c>
      <c r="G10" s="10" t="n">
        <v>0</v>
      </c>
      <c r="H10" s="10" t="n">
        <v>0</v>
      </c>
      <c r="I10" s="11" t="n">
        <v>0</v>
      </c>
      <c r="J10" s="10" t="n">
        <v>0</v>
      </c>
      <c r="K10" s="11" t="n">
        <v>0</v>
      </c>
    </row>
    <row r="11" ht="22" customHeight="1">
      <c r="B11" s="20" t="n">
        <v>7</v>
      </c>
      <c r="C11" s="6" t="inlineStr">
        <is>
          <t>DISCOM OBALA</t>
        </is>
      </c>
      <c r="D11" s="7" t="n">
        <v>0</v>
      </c>
      <c r="E11" s="7" t="n">
        <v>0</v>
      </c>
      <c r="F11" s="7" t="n">
        <v>26</v>
      </c>
      <c r="G11" s="7" t="n">
        <v>0</v>
      </c>
      <c r="H11" s="7" t="n">
        <v>0</v>
      </c>
      <c r="I11" s="8" t="n">
        <v>0</v>
      </c>
      <c r="J11" s="7" t="n">
        <v>0</v>
      </c>
      <c r="K11" s="8" t="n">
        <v>0</v>
      </c>
    </row>
    <row r="12" ht="22" customHeight="1">
      <c r="B12" s="21" t="n">
        <v>8</v>
      </c>
      <c r="C12" s="9" t="inlineStr">
        <is>
          <t>ESSOS</t>
        </is>
      </c>
      <c r="D12" s="10" t="n">
        <v>61</v>
      </c>
      <c r="E12" s="10" t="n">
        <v>22</v>
      </c>
      <c r="F12" s="10" t="n">
        <v>19</v>
      </c>
      <c r="G12" s="10" t="n">
        <v>0</v>
      </c>
      <c r="H12" s="10" t="n">
        <v>0</v>
      </c>
      <c r="I12" s="11" t="n">
        <v>0</v>
      </c>
      <c r="J12" s="10" t="n">
        <v>0</v>
      </c>
      <c r="K12" s="11" t="n">
        <v>0</v>
      </c>
    </row>
    <row r="13" ht="22" customHeight="1">
      <c r="B13" s="20" t="n">
        <v>9</v>
      </c>
      <c r="C13" s="6" t="inlineStr">
        <is>
          <t>ETIFA SARL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996.1317290244449</v>
      </c>
      <c r="I13" s="8" t="n">
        <v>0</v>
      </c>
      <c r="J13" s="7" t="n">
        <v>523.4879999999999</v>
      </c>
      <c r="K13" s="8" t="n">
        <v>0</v>
      </c>
    </row>
    <row r="14" ht="22" customHeight="1">
      <c r="B14" s="21" t="n">
        <v>10</v>
      </c>
      <c r="C14" s="9" t="inlineStr">
        <is>
          <t>SOCLADIS</t>
        </is>
      </c>
      <c r="D14" s="10" t="n">
        <v>55</v>
      </c>
      <c r="E14" s="10" t="n">
        <v>12</v>
      </c>
      <c r="F14" s="10" t="n">
        <v>0</v>
      </c>
      <c r="G14" s="10" t="n">
        <v>0</v>
      </c>
      <c r="H14" s="10" t="n">
        <v>1091.582031390459</v>
      </c>
      <c r="I14" s="11" t="n">
        <v>0</v>
      </c>
      <c r="J14" s="10" t="n">
        <v>573.672</v>
      </c>
      <c r="K14" s="11" t="n">
        <v>0</v>
      </c>
    </row>
    <row r="15" ht="22" customHeight="1">
      <c r="B15" s="20" t="n">
        <v>11</v>
      </c>
      <c r="C15" s="6" t="inlineStr">
        <is>
          <t>DISCOM SOA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</v>
      </c>
      <c r="J15" s="7" t="n">
        <v>0</v>
      </c>
      <c r="K15" s="8" t="n">
        <v>0</v>
      </c>
    </row>
    <row r="16" ht="26" customHeight="1">
      <c r="B16" s="12" t="n"/>
      <c r="C16" s="12" t="inlineStr">
        <is>
          <t>TOTAL</t>
        </is>
      </c>
      <c r="D16" s="13" t="n">
        <v>3427</v>
      </c>
      <c r="E16" s="13" t="n">
        <v>2338</v>
      </c>
      <c r="F16" s="13" t="n">
        <v>1016</v>
      </c>
      <c r="G16" s="13" t="n">
        <v>39</v>
      </c>
      <c r="H16" s="13" t="n">
        <v>18719.98628351236</v>
      </c>
      <c r="I16" s="14" t="n">
        <v>0.05427354404072627</v>
      </c>
      <c r="J16" s="13" t="n">
        <v>9840</v>
      </c>
      <c r="K16" s="14" t="n">
        <v>0.003963414634146342</v>
      </c>
    </row>
  </sheetData>
  <mergeCells count="1"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M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8" customWidth="1" min="4" max="4"/>
    <col width="8" customWidth="1" min="5" max="5"/>
    <col width="21" customWidth="1" min="6" max="6"/>
    <col width="21" customWidth="1" min="7" max="7"/>
    <col width="8" customWidth="1" min="8" max="8"/>
    <col width="8" customWidth="1" min="9" max="9"/>
    <col width="20" customWidth="1" min="10" max="10"/>
    <col width="21" customWidth="1" min="11" max="11"/>
    <col width="20" customWidth="1" min="12" max="12"/>
    <col width="23" customWidth="1" min="13" max="13"/>
  </cols>
  <sheetData>
    <row r="1" ht="15" customHeight="1"/>
    <row r="2" ht="32" customHeight="1">
      <c r="B2" s="1" t="inlineStr">
        <is>
          <t>Répartition Grossiste vs Détaillant — Mai &amp; Juin</t>
        </is>
      </c>
    </row>
    <row r="3" ht="8" customHeight="1"/>
    <row r="4" ht="28" customHeight="1">
      <c r="B4" s="5" t="inlineStr">
        <is>
          <t>Distributeur</t>
        </is>
      </c>
      <c r="C4" s="5" t="inlineStr">
        <is>
          <t>Mai Gross.</t>
        </is>
      </c>
      <c r="D4" s="5" t="inlineStr">
        <is>
          <t>Mai Dét.</t>
        </is>
      </c>
      <c r="E4" s="5" t="inlineStr">
        <is>
          <t>Mai Total</t>
        </is>
      </c>
      <c r="F4" s="5" t="inlineStr">
        <is>
          <t>%G Mai</t>
        </is>
      </c>
      <c r="G4" s="5" t="inlineStr">
        <is>
          <t>%D Mai</t>
        </is>
      </c>
      <c r="H4" s="5" t="inlineStr">
        <is>
          <t>Juin Total</t>
        </is>
      </c>
      <c r="I4" s="5" t="inlineStr">
        <is>
          <t>Juil. MTD</t>
        </is>
      </c>
      <c r="J4" s="5" t="inlineStr">
        <is>
          <t>Obj. Juin</t>
        </is>
      </c>
      <c r="K4" s="5" t="inlineStr">
        <is>
          <t>Taux Juin</t>
        </is>
      </c>
      <c r="L4" s="5" t="inlineStr">
        <is>
          <t>Obj. Juil.</t>
        </is>
      </c>
      <c r="M4" s="5" t="inlineStr">
        <is>
          <t>Taux Juil.</t>
        </is>
      </c>
    </row>
    <row r="5" ht="22" customHeight="1">
      <c r="B5" s="6" t="inlineStr">
        <is>
          <t>BAFIA</t>
        </is>
      </c>
      <c r="C5" s="7" t="n">
        <v>0</v>
      </c>
      <c r="D5" s="7" t="n">
        <v>48</v>
      </c>
      <c r="E5" s="7" t="n">
        <v>48</v>
      </c>
      <c r="F5" s="8" t="n">
        <v>0</v>
      </c>
      <c r="G5" s="8" t="n">
        <v>1</v>
      </c>
      <c r="H5" s="7" t="n">
        <v>0</v>
      </c>
      <c r="I5" s="7" t="n">
        <v>0</v>
      </c>
      <c r="J5" s="7" t="n">
        <v>389.2877345252591</v>
      </c>
      <c r="K5" s="8" t="n">
        <v>0</v>
      </c>
      <c r="L5" s="7" t="n">
        <v>204.672</v>
      </c>
      <c r="M5" s="8" t="n">
        <v>0</v>
      </c>
    </row>
    <row r="6" ht="22" customHeight="1">
      <c r="B6" s="9" t="inlineStr">
        <is>
          <t>EDAIDJO</t>
        </is>
      </c>
      <c r="C6" s="10" t="n">
        <v>73</v>
      </c>
      <c r="D6" s="10" t="n">
        <v>240</v>
      </c>
      <c r="E6" s="10" t="n">
        <v>313</v>
      </c>
      <c r="F6" s="11" t="n">
        <v>0.2332268370607029</v>
      </c>
      <c r="G6" s="11" t="n">
        <v>0.7667731629392971</v>
      </c>
      <c r="H6" s="10" t="n">
        <v>79</v>
      </c>
      <c r="I6" s="10" t="n">
        <v>0</v>
      </c>
      <c r="J6" s="10" t="n">
        <v>1622.305887876897</v>
      </c>
      <c r="K6" s="11" t="n">
        <v>0.04869611864836839</v>
      </c>
      <c r="L6" s="10" t="n">
        <v>853.128</v>
      </c>
      <c r="M6" s="11" t="n">
        <v>0</v>
      </c>
    </row>
    <row r="7" ht="22" customHeight="1">
      <c r="B7" s="6" t="inlineStr">
        <is>
          <t>ESSOS</t>
        </is>
      </c>
      <c r="C7" s="7" t="n">
        <v>0</v>
      </c>
      <c r="D7" s="7" t="n">
        <v>22</v>
      </c>
      <c r="E7" s="7" t="n">
        <v>22</v>
      </c>
      <c r="F7" s="8" t="n">
        <v>0</v>
      </c>
      <c r="G7" s="8" t="n">
        <v>1</v>
      </c>
      <c r="H7" s="7" t="n">
        <v>19</v>
      </c>
      <c r="I7" s="7" t="n">
        <v>0</v>
      </c>
      <c r="J7" s="7" t="n">
        <v>0</v>
      </c>
      <c r="K7" s="8" t="n">
        <v>0</v>
      </c>
      <c r="L7" s="7" t="n">
        <v>0</v>
      </c>
      <c r="M7" s="8" t="n">
        <v>0</v>
      </c>
    </row>
    <row r="8" ht="22" customHeight="1">
      <c r="B8" s="9" t="inlineStr">
        <is>
          <t>ETIFA</t>
        </is>
      </c>
      <c r="C8" s="10" t="n">
        <v>0</v>
      </c>
      <c r="D8" s="10" t="n">
        <v>0</v>
      </c>
      <c r="E8" s="10" t="n">
        <v>0</v>
      </c>
      <c r="F8" s="11" t="n">
        <v>0</v>
      </c>
      <c r="G8" s="11" t="n">
        <v>0</v>
      </c>
      <c r="H8" s="10" t="n">
        <v>0</v>
      </c>
      <c r="I8" s="10" t="n">
        <v>0</v>
      </c>
      <c r="J8" s="10" t="n">
        <v>0</v>
      </c>
      <c r="K8" s="11" t="n">
        <v>0</v>
      </c>
      <c r="L8" s="10" t="n">
        <v>0</v>
      </c>
      <c r="M8" s="11" t="n">
        <v>0</v>
      </c>
    </row>
    <row r="9" ht="22" customHeight="1">
      <c r="B9" s="6" t="inlineStr">
        <is>
          <t>ETS TSALAF</t>
        </is>
      </c>
      <c r="C9" s="7" t="n">
        <v>171</v>
      </c>
      <c r="D9" s="7" t="n">
        <v>30</v>
      </c>
      <c r="E9" s="7" t="n">
        <v>201</v>
      </c>
      <c r="F9" s="8" t="n">
        <v>0.8507462686567164</v>
      </c>
      <c r="G9" s="8" t="n">
        <v>0.1492537313432836</v>
      </c>
      <c r="H9" s="7" t="n">
        <v>74</v>
      </c>
      <c r="I9" s="7" t="n">
        <v>2</v>
      </c>
      <c r="J9" s="7" t="n">
        <v>1603.43871979451</v>
      </c>
      <c r="K9" s="8" t="n">
        <v>0.04615081267931681</v>
      </c>
      <c r="L9" s="7" t="n">
        <v>843.288</v>
      </c>
      <c r="M9" s="8" t="n">
        <v>0.002371668990902278</v>
      </c>
    </row>
    <row r="10" ht="22" customHeight="1">
      <c r="B10" s="9" t="inlineStr">
        <is>
          <t>LAMARC</t>
        </is>
      </c>
      <c r="C10" s="10" t="n">
        <v>0</v>
      </c>
      <c r="D10" s="10" t="n">
        <v>268</v>
      </c>
      <c r="E10" s="10" t="n">
        <v>268</v>
      </c>
      <c r="F10" s="11" t="n">
        <v>0</v>
      </c>
      <c r="G10" s="11" t="n">
        <v>1</v>
      </c>
      <c r="H10" s="10" t="n">
        <v>163</v>
      </c>
      <c r="I10" s="10" t="n">
        <v>0</v>
      </c>
      <c r="J10" s="10" t="n">
        <v>1344.824409834513</v>
      </c>
      <c r="K10" s="11" t="n">
        <v>0.1212054144823694</v>
      </c>
      <c r="L10" s="10" t="n">
        <v>706.5120000000001</v>
      </c>
      <c r="M10" s="11" t="n">
        <v>0</v>
      </c>
    </row>
    <row r="11" ht="22" customHeight="1">
      <c r="B11" s="6" t="inlineStr">
        <is>
          <t>OBALA</t>
        </is>
      </c>
      <c r="C11" s="7" t="n">
        <v>0</v>
      </c>
      <c r="D11" s="7" t="n">
        <v>227</v>
      </c>
      <c r="E11" s="7" t="n">
        <v>227</v>
      </c>
      <c r="F11" s="8" t="n">
        <v>0</v>
      </c>
      <c r="G11" s="8" t="n">
        <v>1</v>
      </c>
      <c r="H11" s="7" t="n">
        <v>0</v>
      </c>
      <c r="I11" s="7" t="n">
        <v>13</v>
      </c>
      <c r="J11" s="7" t="n">
        <v>1362.507070838407</v>
      </c>
      <c r="K11" s="8" t="n">
        <v>0</v>
      </c>
      <c r="L11" s="7" t="n">
        <v>716.3520000000001</v>
      </c>
      <c r="M11" s="8" t="n">
        <v>0.01814750290360046</v>
      </c>
    </row>
    <row r="12" ht="22" customHeight="1">
      <c r="B12" s="9" t="inlineStr">
        <is>
          <t>SADIS SARL</t>
        </is>
      </c>
      <c r="C12" s="10" t="n">
        <v>206</v>
      </c>
      <c r="D12" s="10" t="n">
        <v>209</v>
      </c>
      <c r="E12" s="10" t="n">
        <v>415</v>
      </c>
      <c r="F12" s="11" t="n">
        <v>0.4963855421686747</v>
      </c>
      <c r="G12" s="11" t="n">
        <v>0.5036144578313253</v>
      </c>
      <c r="H12" s="10" t="n">
        <v>260</v>
      </c>
      <c r="I12" s="10" t="n">
        <v>1</v>
      </c>
      <c r="J12" s="10" t="n">
        <v>1624.998769061954</v>
      </c>
      <c r="K12" s="11" t="n">
        <v>0.1600001212001456</v>
      </c>
      <c r="L12" s="10" t="n">
        <v>854.112</v>
      </c>
      <c r="M12" s="11" t="n">
        <v>0.001170806638941965</v>
      </c>
    </row>
    <row r="13" ht="22" customHeight="1">
      <c r="B13" s="6" t="inlineStr">
        <is>
          <t>SOA</t>
        </is>
      </c>
      <c r="C13" s="7" t="n">
        <v>0</v>
      </c>
      <c r="D13" s="7" t="n">
        <v>0</v>
      </c>
      <c r="E13" s="7" t="n">
        <v>0</v>
      </c>
      <c r="F13" s="8" t="n">
        <v>0</v>
      </c>
      <c r="G13" s="8" t="n">
        <v>0</v>
      </c>
      <c r="H13" s="7" t="n">
        <v>0</v>
      </c>
      <c r="I13" s="7" t="n">
        <v>0</v>
      </c>
      <c r="J13" s="7" t="n">
        <v>194.6438672626296</v>
      </c>
      <c r="K13" s="8" t="n">
        <v>0</v>
      </c>
      <c r="L13" s="7" t="n">
        <v>102.336</v>
      </c>
      <c r="M13" s="8" t="n">
        <v>0</v>
      </c>
    </row>
    <row r="14" ht="22" customHeight="1">
      <c r="B14" s="9" t="inlineStr">
        <is>
          <t>SOCLADIS</t>
        </is>
      </c>
      <c r="C14" s="10" t="n">
        <v>0</v>
      </c>
      <c r="D14" s="10" t="n">
        <v>12</v>
      </c>
      <c r="E14" s="10" t="n">
        <v>12</v>
      </c>
      <c r="F14" s="11" t="n">
        <v>0</v>
      </c>
      <c r="G14" s="11" t="n">
        <v>1</v>
      </c>
      <c r="H14" s="10" t="n">
        <v>0</v>
      </c>
      <c r="I14" s="10" t="n">
        <v>0</v>
      </c>
      <c r="J14" s="10" t="n">
        <v>1091.582031390459</v>
      </c>
      <c r="K14" s="11" t="n">
        <v>0</v>
      </c>
      <c r="L14" s="10" t="n">
        <v>573.672</v>
      </c>
      <c r="M14" s="11" t="n">
        <v>0</v>
      </c>
    </row>
    <row r="15" ht="22" customHeight="1">
      <c r="B15" s="6" t="inlineStr">
        <is>
          <t>SUNCAM</t>
        </is>
      </c>
      <c r="C15" s="7" t="n">
        <v>194</v>
      </c>
      <c r="D15" s="7" t="n">
        <v>638</v>
      </c>
      <c r="E15" s="7" t="n">
        <v>832</v>
      </c>
      <c r="F15" s="8" t="n">
        <v>0.2331730769230769</v>
      </c>
      <c r="G15" s="8" t="n">
        <v>0.7668269230769231</v>
      </c>
      <c r="H15" s="7" t="n">
        <v>339</v>
      </c>
      <c r="I15" s="7" t="n">
        <v>23</v>
      </c>
      <c r="J15" s="7" t="n">
        <v>8490.266063903289</v>
      </c>
      <c r="K15" s="8" t="n">
        <v>0.03992807733567647</v>
      </c>
      <c r="L15" s="7" t="n">
        <v>4462.440000000001</v>
      </c>
      <c r="M15" s="8" t="n">
        <v>0.005154130923889172</v>
      </c>
    </row>
    <row r="16" ht="26" customHeight="1">
      <c r="B16" s="12" t="inlineStr">
        <is>
          <t>TOTAL</t>
        </is>
      </c>
      <c r="C16" s="13" t="n">
        <v>644</v>
      </c>
      <c r="D16" s="13" t="n">
        <v>1694</v>
      </c>
      <c r="E16" s="13" t="n">
        <v>2338</v>
      </c>
      <c r="F16" s="14" t="n">
        <v>0.2754491017964072</v>
      </c>
      <c r="G16" s="14" t="n">
        <v>0.7245508982035929</v>
      </c>
      <c r="H16" s="13" t="n">
        <v>1016</v>
      </c>
      <c r="I16" s="13" t="n">
        <v>39</v>
      </c>
      <c r="J16" s="13" t="n">
        <v>18719.98628351236</v>
      </c>
      <c r="K16" s="14" t="n">
        <v>0.05427354404072627</v>
      </c>
      <c r="L16" s="13" t="n">
        <v>9840</v>
      </c>
      <c r="M16" s="14" t="n">
        <v>0.003963414634146342</v>
      </c>
    </row>
  </sheetData>
  <mergeCells count="1">
    <mergeCell ref="B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2026-07-19T19:54:58Z</dcterms:created>
  <dcterms:modified xmlns:dcterms="http://purl.org/dc/terms/" xmlns:xsi="http://www.w3.org/2001/XMLSchema-instance" xsi:type="dcterms:W3CDTF">2026-07-19T19:54:58Z</dcterms:modified>
</cp:coreProperties>
</file>