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1 - Moy jour soja par agence" sheetId="1" state="visible" r:id="rId1"/>
    <sheet name="T2 - Commandes soja 03-10" sheetId="2" state="visible" r:id="rId2"/>
    <sheet name="T3 - Soja-only 03-10" sheetId="3" state="visible" r:id="rId3"/>
    <sheet name="T4 - Stock soja et rupture" sheetId="4" state="visible" r:id="rId4"/>
    <sheet name="T5 - Tendance Octob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i val="1"/>
      <color rgb="00375623"/>
      <sz val="10"/>
    </font>
    <font>
      <color rgb="009C0006"/>
      <sz val="10"/>
    </font>
    <font>
      <b val="1"/>
      <color rgb="001F4E78"/>
      <sz val="11"/>
    </font>
    <font>
      <b val="1"/>
      <color rgb="00C00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008000"/>
      <sz val="10"/>
    </font>
    <font>
      <color rgb="00C00000"/>
      <sz val="10"/>
    </font>
    <font>
      <b val="1"/>
      <color rgb="00008000"/>
      <sz val="10"/>
    </font>
    <font>
      <i val="1"/>
      <color rgb="00595959"/>
      <sz val="9"/>
    </font>
    <font>
      <i val="1"/>
      <color rgb="00808080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Tendance journalière — Soja vs Concentrés (Octobre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Octobre'!D4</f>
            </strRef>
          </tx>
          <spPr>
            <a:solidFill>
              <a:srgbClr val="1F4E78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'T5 - Tendance Octobre'!$A$5:$A$9</f>
            </numRef>
          </cat>
          <val>
            <numRef>
              <f>'T5 - Tendance Octobre'!$D$5:$D$9</f>
            </numRef>
          </val>
        </ser>
        <ser>
          <idx val="1"/>
          <order val="1"/>
          <tx>
            <strRef>
              <f>'T5 - Tendance Octobre'!E4</f>
            </strRef>
          </tx>
          <spPr>
            <a:solidFill>
              <a:srgbClr val="C9A961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'T5 - Tendance Octobre'!$A$5:$A$9</f>
            </numRef>
          </cat>
          <val>
            <numRef>
              <f>'T5 - Tendance Octobre'!$E$5:$E$9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Octobre'!G4</f>
            </strRef>
          </tx>
          <spPr>
            <a:ln>
              <a:prstDash val="solid"/>
            </a:ln>
          </spPr>
          <cat>
            <numRef>
              <f>'T5 - Tendance Octobre'!$A$5:$A$9</f>
            </numRef>
          </cat>
          <val>
            <numRef>
              <f>'T5 - Tendance Octobre'!$G$5:$G$9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octobre par agence/region</t>
        </is>
      </c>
    </row>
    <row r="2">
      <c r="A2" s="2" t="inlineStr">
        <is>
          <t>01/10 au 03/10/2026 (3j). Livree. lun-sam. Mise a jour 05/10/2026.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30/09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155.9</v>
      </c>
      <c r="D5" s="4" t="n">
        <v>52</v>
      </c>
      <c r="E5" s="5" t="inlineStr">
        <is>
          <t>+0.6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100.5</v>
      </c>
      <c r="D6" s="4" t="n">
        <v>33.5</v>
      </c>
      <c r="E6" s="5" t="inlineStr">
        <is>
          <t>+12.1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57.4</v>
      </c>
      <c r="D7" s="4" t="n">
        <v>19.1</v>
      </c>
      <c r="E7" s="5" t="inlineStr">
        <is>
          <t>+2.9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53.5</v>
      </c>
      <c r="D8" s="4" t="n">
        <v>17.8</v>
      </c>
      <c r="E8" s="5" t="inlineStr">
        <is>
          <t>+2.6 t/j</t>
        </is>
      </c>
    </row>
    <row r="9">
      <c r="A9" s="4" t="inlineStr">
        <is>
          <t>Village</t>
        </is>
      </c>
      <c r="B9" s="4" t="inlineStr">
        <is>
          <t>Littoral</t>
        </is>
      </c>
      <c r="C9" s="4" t="n">
        <v>36.6</v>
      </c>
      <c r="D9" s="4" t="n">
        <v>12.2</v>
      </c>
      <c r="E9" s="5" t="inlineStr">
        <is>
          <t>+0.5 t/j</t>
        </is>
      </c>
    </row>
    <row r="10">
      <c r="A10" s="4" t="inlineStr">
        <is>
          <t>Nkoabang</t>
        </is>
      </c>
      <c r="B10" s="4" t="inlineStr">
        <is>
          <t>Centre</t>
        </is>
      </c>
      <c r="C10" s="4" t="n">
        <v>35.7</v>
      </c>
      <c r="D10" s="4" t="n">
        <v>11.9</v>
      </c>
      <c r="E10" s="5" t="inlineStr">
        <is>
          <t>+1.7 t/j</t>
        </is>
      </c>
    </row>
    <row r="11">
      <c r="A11" s="4" t="inlineStr">
        <is>
          <t>Ahala</t>
        </is>
      </c>
      <c r="B11" s="4" t="inlineStr">
        <is>
          <t>Centre</t>
        </is>
      </c>
      <c r="C11" s="4" t="n">
        <v>32</v>
      </c>
      <c r="D11" s="4" t="n">
        <v>10.7</v>
      </c>
      <c r="E11" s="5" t="inlineStr">
        <is>
          <t>+0.2 t/j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31.6</v>
      </c>
      <c r="D12" s="4" t="n">
        <v>10.5</v>
      </c>
      <c r="E12" s="5" t="inlineStr">
        <is>
          <t>+1.7 t/j</t>
        </is>
      </c>
    </row>
    <row r="13">
      <c r="A13" s="4" t="inlineStr">
        <is>
          <t>Mbouda</t>
        </is>
      </c>
      <c r="B13" s="4" t="inlineStr">
        <is>
          <t>Ouest</t>
        </is>
      </c>
      <c r="C13" s="4" t="n">
        <v>25.2</v>
      </c>
      <c r="D13" s="4" t="n">
        <v>8.4</v>
      </c>
      <c r="E13" s="4" t="inlineStr">
        <is>
          <t>+0.1 t/j</t>
        </is>
      </c>
    </row>
    <row r="14">
      <c r="A14" s="4" t="inlineStr">
        <is>
          <t>Nkongsamba</t>
        </is>
      </c>
      <c r="B14" s="4" t="inlineStr">
        <is>
          <t>Littoral</t>
        </is>
      </c>
      <c r="C14" s="4" t="n">
        <v>23.9</v>
      </c>
      <c r="D14" s="4" t="n">
        <v>8</v>
      </c>
      <c r="E14" s="5" t="inlineStr">
        <is>
          <t>+1.4 t/j</t>
        </is>
      </c>
    </row>
    <row r="15">
      <c r="A15" s="4" t="inlineStr">
        <is>
          <t>Bertoua</t>
        </is>
      </c>
      <c r="B15" s="4" t="inlineStr">
        <is>
          <t>Centre</t>
        </is>
      </c>
      <c r="C15" s="4" t="n">
        <v>21.6</v>
      </c>
      <c r="D15" s="4" t="n">
        <v>7.2</v>
      </c>
      <c r="E15" s="6" t="inlineStr">
        <is>
          <t>-0.7 t/j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20</v>
      </c>
      <c r="D16" s="4" t="n">
        <v>6.7</v>
      </c>
      <c r="E16" s="5" t="inlineStr">
        <is>
          <t>+0.8 t/j</t>
        </is>
      </c>
    </row>
    <row r="17">
      <c r="A17" s="4" t="inlineStr">
        <is>
          <t>Nkolbisson</t>
        </is>
      </c>
      <c r="B17" s="4" t="inlineStr">
        <is>
          <t>Centre</t>
        </is>
      </c>
      <c r="C17" s="4" t="n">
        <v>10.6</v>
      </c>
      <c r="D17" s="4" t="n">
        <v>3.5</v>
      </c>
      <c r="E17" s="5" t="inlineStr">
        <is>
          <t>+1.0 t/j</t>
        </is>
      </c>
    </row>
    <row r="18">
      <c r="A18" s="4" t="inlineStr">
        <is>
          <t>Ngaoundere</t>
        </is>
      </c>
      <c r="B18" s="4" t="inlineStr">
        <is>
          <t>Centre</t>
        </is>
      </c>
      <c r="C18" s="4" t="n">
        <v>5</v>
      </c>
      <c r="D18" s="4" t="n">
        <v>1.7</v>
      </c>
      <c r="E18" s="6" t="inlineStr">
        <is>
          <t>-0.6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1</v>
      </c>
      <c r="D19" s="4" t="n">
        <v>0.3</v>
      </c>
      <c r="E19" s="4" t="inlineStr">
        <is>
          <t>stable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238.6</v>
      </c>
      <c r="D20" s="7" t="n">
        <v>79.5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158.5</v>
      </c>
      <c r="D21" s="7" t="n">
        <v>52.8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212.6</v>
      </c>
      <c r="D22" s="7" t="n">
        <v>70.90000000000001</v>
      </c>
      <c r="E22" s="7" t="n"/>
    </row>
    <row r="23">
      <c r="A23" s="8" t="inlineStr">
        <is>
          <t>TOTAL</t>
        </is>
      </c>
      <c r="B23" s="8" t="n"/>
      <c r="C23" s="8" t="n">
        <v>610.6</v>
      </c>
      <c r="D23" s="8" t="n">
        <v>203.5</v>
      </c>
      <c r="E23" s="8" t="inlineStr">
        <is>
          <t>+24.3 t/j vs 179.3</t>
        </is>
      </c>
    </row>
    <row r="25">
      <c r="A25" s="9" t="inlineStr">
        <is>
          <t>NOTE: Prix du soja en septembre 2026: 23 879 FCFA/sac (hausse de +2 000 XAF/sac depuis le 23/07/2026).</t>
        </is>
      </c>
    </row>
    <row r="26">
      <c r="A26" s="10" t="inlineStr">
        <is>
          <t>Moyenne/jour globale: 203.5 t/j (4070 sacs) sur 3j.</t>
        </is>
      </c>
    </row>
    <row r="27">
      <c r="A27" s="2" t="inlineStr">
        <is>
          <t>Precedent (30/09): 179.3 t/j (3585 sacs) sur 26j.</t>
        </is>
      </c>
    </row>
    <row r="28">
      <c r="A28" s="2" t="inlineStr">
        <is>
          <t>Note: extraction du 05/10 — aucune commande Livrée le 04/10 (dimanche) ni le 05/10 (commandes encore Validées/En cours).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03/10/2026 par agence</t>
        </is>
      </c>
    </row>
    <row r="2">
      <c r="A2" s="2" t="inlineStr">
        <is>
          <t>Livree. Ratio en sacs 50kg-equivalent. Mise a jour 05/10/2026.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30/09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28</v>
      </c>
      <c r="D5" s="4" t="n">
        <v>20</v>
      </c>
      <c r="E5" s="4" t="n">
        <v>8</v>
      </c>
      <c r="F5" s="4" t="inlineStr">
        <is>
          <t>4.3:1</t>
        </is>
      </c>
      <c r="G5" s="11" t="inlineStr">
        <is>
          <t>-15 cmdes</t>
        </is>
      </c>
    </row>
    <row r="6">
      <c r="A6" s="4" t="inlineStr">
        <is>
          <t>Ahala</t>
        </is>
      </c>
      <c r="B6" s="4" t="inlineStr">
        <is>
          <t>Centre</t>
        </is>
      </c>
      <c r="C6" s="4" t="n">
        <v>12</v>
      </c>
      <c r="D6" s="4" t="n">
        <v>12</v>
      </c>
      <c r="E6" s="4" t="n">
        <v>0</v>
      </c>
      <c r="F6" s="4" t="inlineStr">
        <is>
          <t>2.6:1</t>
        </is>
      </c>
      <c r="G6" s="11" t="inlineStr">
        <is>
          <t>-1 cmdes</t>
        </is>
      </c>
    </row>
    <row r="7">
      <c r="A7" s="4" t="inlineStr">
        <is>
          <t>Messassi</t>
        </is>
      </c>
      <c r="B7" s="4" t="inlineStr">
        <is>
          <t>Centre</t>
        </is>
      </c>
      <c r="C7" s="4" t="n">
        <v>12</v>
      </c>
      <c r="D7" s="4" t="n">
        <v>12</v>
      </c>
      <c r="E7" s="4" t="n">
        <v>0</v>
      </c>
      <c r="F7" s="4" t="inlineStr">
        <is>
          <t>2.4:1</t>
        </is>
      </c>
      <c r="G7" s="11" t="inlineStr">
        <is>
          <t>-10 cmdes</t>
        </is>
      </c>
    </row>
    <row r="8">
      <c r="A8" s="4" t="inlineStr">
        <is>
          <t>Village</t>
        </is>
      </c>
      <c r="B8" s="4" t="inlineStr">
        <is>
          <t>Littoral</t>
        </is>
      </c>
      <c r="C8" s="4" t="n">
        <v>11</v>
      </c>
      <c r="D8" s="4" t="n">
        <v>8</v>
      </c>
      <c r="E8" s="4" t="n">
        <v>3</v>
      </c>
      <c r="F8" s="4" t="inlineStr">
        <is>
          <t>2.6:1</t>
        </is>
      </c>
      <c r="G8" s="11" t="inlineStr">
        <is>
          <t>-3 cmdes</t>
        </is>
      </c>
    </row>
    <row r="9">
      <c r="A9" s="4" t="inlineStr">
        <is>
          <t>Pk11</t>
        </is>
      </c>
      <c r="B9" s="4" t="inlineStr">
        <is>
          <t>Littoral</t>
        </is>
      </c>
      <c r="C9" s="4" t="n">
        <v>10</v>
      </c>
      <c r="D9" s="4" t="n">
        <v>5</v>
      </c>
      <c r="E9" s="4" t="n">
        <v>5</v>
      </c>
      <c r="F9" s="4" t="inlineStr">
        <is>
          <t>4.8:1</t>
        </is>
      </c>
      <c r="G9" s="11" t="inlineStr">
        <is>
          <t>-6 cmdes</t>
        </is>
      </c>
    </row>
    <row r="10">
      <c r="A10" s="4" t="inlineStr">
        <is>
          <t>Buea</t>
        </is>
      </c>
      <c r="B10" s="4" t="inlineStr">
        <is>
          <t>Littoral</t>
        </is>
      </c>
      <c r="C10" s="4" t="n">
        <v>9</v>
      </c>
      <c r="D10" s="4" t="n">
        <v>9</v>
      </c>
      <c r="E10" s="4" t="n">
        <v>0</v>
      </c>
      <c r="F10" s="4" t="inlineStr">
        <is>
          <t>3.0:1</t>
        </is>
      </c>
      <c r="G10" s="12" t="inlineStr">
        <is>
          <t>+3 cmdes</t>
        </is>
      </c>
    </row>
    <row r="11">
      <c r="A11" s="4" t="inlineStr">
        <is>
          <t>Nkoabang</t>
        </is>
      </c>
      <c r="B11" s="4" t="inlineStr">
        <is>
          <t>Centre</t>
        </is>
      </c>
      <c r="C11" s="4" t="n">
        <v>8</v>
      </c>
      <c r="D11" s="4" t="n">
        <v>6</v>
      </c>
      <c r="E11" s="4" t="n">
        <v>2</v>
      </c>
      <c r="F11" s="4" t="inlineStr">
        <is>
          <t>3.3:1</t>
        </is>
      </c>
      <c r="G11" s="4" t="inlineStr">
        <is>
          <t>stable</t>
        </is>
      </c>
    </row>
    <row r="12">
      <c r="A12" s="4" t="inlineStr">
        <is>
          <t>Bertoua</t>
        </is>
      </c>
      <c r="B12" s="4" t="inlineStr">
        <is>
          <t>Centre</t>
        </is>
      </c>
      <c r="C12" s="4" t="n">
        <v>7</v>
      </c>
      <c r="D12" s="4" t="n">
        <v>7</v>
      </c>
      <c r="E12" s="4" t="n">
        <v>0</v>
      </c>
      <c r="F12" s="4" t="inlineStr">
        <is>
          <t>1.9:1</t>
        </is>
      </c>
      <c r="G12" s="11" t="inlineStr">
        <is>
          <t>-11 cmdes</t>
        </is>
      </c>
    </row>
    <row r="13">
      <c r="A13" s="4" t="inlineStr">
        <is>
          <t>Mbouda</t>
        </is>
      </c>
      <c r="B13" s="4" t="inlineStr">
        <is>
          <t>Ouest</t>
        </is>
      </c>
      <c r="C13" s="4" t="n">
        <v>4</v>
      </c>
      <c r="D13" s="4" t="n">
        <v>4</v>
      </c>
      <c r="E13" s="4" t="n">
        <v>0</v>
      </c>
      <c r="F13" s="4" t="inlineStr">
        <is>
          <t>1.8:1</t>
        </is>
      </c>
      <c r="G13" s="11" t="inlineStr">
        <is>
          <t>-3 cmdes</t>
        </is>
      </c>
    </row>
    <row r="14">
      <c r="A14" s="4" t="inlineStr">
        <is>
          <t>Nkolbisson</t>
        </is>
      </c>
      <c r="B14" s="4" t="inlineStr">
        <is>
          <t>Centre</t>
        </is>
      </c>
      <c r="C14" s="4" t="n">
        <v>4</v>
      </c>
      <c r="D14" s="4" t="n">
        <v>2</v>
      </c>
      <c r="E14" s="4" t="n">
        <v>2</v>
      </c>
      <c r="F14" s="4" t="inlineStr">
        <is>
          <t>3.0:1</t>
        </is>
      </c>
      <c r="G14" s="11" t="inlineStr">
        <is>
          <t>-3 cmdes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4</v>
      </c>
      <c r="D15" s="4" t="n">
        <v>2</v>
      </c>
      <c r="E15" s="4" t="n">
        <v>2</v>
      </c>
      <c r="F15" s="4" t="inlineStr">
        <is>
          <t>4.3:1</t>
        </is>
      </c>
      <c r="G15" s="11" t="inlineStr">
        <is>
          <t>-5 cmdes</t>
        </is>
      </c>
    </row>
    <row r="16">
      <c r="A16" s="4" t="inlineStr">
        <is>
          <t>Ndobo</t>
        </is>
      </c>
      <c r="B16" s="4" t="inlineStr">
        <is>
          <t>Littoral</t>
        </is>
      </c>
      <c r="C16" s="4" t="n">
        <v>1</v>
      </c>
      <c r="D16" s="4" t="n">
        <v>0</v>
      </c>
      <c r="E16" s="4" t="n">
        <v>1</v>
      </c>
      <c r="F16" s="4" t="inlineStr">
        <is>
          <t>∞</t>
        </is>
      </c>
      <c r="G16" s="11" t="inlineStr">
        <is>
          <t>-11 cmdes</t>
        </is>
      </c>
    </row>
    <row r="17">
      <c r="A17" s="8" t="inlineStr">
        <is>
          <t>TOTAL</t>
        </is>
      </c>
      <c r="B17" s="8" t="n"/>
      <c r="C17" s="8" t="n">
        <v>110</v>
      </c>
      <c r="D17" s="8" t="n">
        <v>87</v>
      </c>
      <c r="E17" s="8" t="n">
        <v>23</v>
      </c>
      <c r="F17" s="8" t="inlineStr">
        <is>
          <t>4.7:1</t>
        </is>
      </c>
      <c r="G17" s="8" t="inlineStr">
        <is>
          <t>-85 cmdes vs 195</t>
        </is>
      </c>
    </row>
    <row r="19">
      <c r="A19" s="13" t="inlineStr">
        <is>
          <t>Distribution ratios (bundle seulement)</t>
        </is>
      </c>
    </row>
    <row r="20">
      <c r="A20" s="3" t="inlineStr">
        <is>
          <t>Tranche</t>
        </is>
      </c>
      <c r="B20" s="3" t="inlineStr">
        <is>
          <t>Nb cmdes</t>
        </is>
      </c>
      <c r="C20" s="3" t="inlineStr">
        <is>
          <t>Part</t>
        </is>
      </c>
    </row>
    <row r="21">
      <c r="A21" s="4" t="inlineStr">
        <is>
          <t>&lt;= 3:1</t>
        </is>
      </c>
      <c r="B21" s="4" t="n">
        <v>54</v>
      </c>
      <c r="C21" s="4" t="inlineStr">
        <is>
          <t>62%</t>
        </is>
      </c>
    </row>
    <row r="22">
      <c r="A22" s="4" t="inlineStr">
        <is>
          <t>3-5:1</t>
        </is>
      </c>
      <c r="B22" s="4" t="n">
        <v>25</v>
      </c>
      <c r="C22" s="4" t="inlineStr">
        <is>
          <t>29%</t>
        </is>
      </c>
    </row>
    <row r="23">
      <c r="A23" s="4" t="inlineStr">
        <is>
          <t>5-10:1</t>
        </is>
      </c>
      <c r="B23" s="4" t="n">
        <v>7</v>
      </c>
      <c r="C23" s="4" t="inlineStr">
        <is>
          <t>8%</t>
        </is>
      </c>
    </row>
    <row r="24">
      <c r="A24" s="4" t="inlineStr">
        <is>
          <t>10-20:1</t>
        </is>
      </c>
      <c r="B24" s="4" t="n">
        <v>1</v>
      </c>
      <c r="C24" s="4" t="inlineStr">
        <is>
          <t>1%</t>
        </is>
      </c>
    </row>
    <row r="25">
      <c r="A25" s="4" t="inlineStr">
        <is>
          <t>&gt; 20:1</t>
        </is>
      </c>
      <c r="B25" s="4" t="n">
        <v>0</v>
      </c>
      <c r="C25" s="4" t="inlineStr">
        <is>
          <t>0%</t>
        </is>
      </c>
    </row>
    <row r="28">
      <c r="A28" s="9" t="inlineStr">
        <is>
          <t>NOTE: Prix du soja en septembre 2026: 23 879 FCFA/sac (hausse de +2 000 XAF/sac depuis le 23/07/2026).</t>
        </is>
      </c>
    </row>
    <row r="29">
      <c r="A29" s="10" t="inlineStr">
        <is>
          <t>Ratio global: 4.7:1 (vs 3.3:1 le 30/09).</t>
        </is>
      </c>
    </row>
    <row r="31">
      <c r="A31" s="14" t="inlineStr">
        <is>
          <t>Note: T2/T3 portent sur le 03/10 (dernier jour avec commandes Livrées; le 04/10 est un dimanche et le 05/10 n'a pas encore de commandes Livrées à l'extraction). Comparaison vs 30/09 (bilan septembre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03/10/2026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30/09</t>
        </is>
      </c>
    </row>
    <row r="5">
      <c r="A5" s="4" t="n">
        <v>1</v>
      </c>
      <c r="B5" s="4" t="inlineStr">
        <is>
          <t>SO2610-139838</t>
        </is>
      </c>
      <c r="C5" s="4" t="inlineStr">
        <is>
          <t>CU2410-01130 -  SEPTENTRION VETERINAIRE SARL</t>
        </is>
      </c>
      <c r="D5" s="4" t="inlineStr">
        <is>
          <t>Ndobo</t>
        </is>
      </c>
      <c r="E5" s="4" t="inlineStr">
        <is>
          <t>Littoral</t>
        </is>
      </c>
      <c r="F5" s="4" t="n">
        <v>56</v>
      </c>
      <c r="G5" s="4" t="n">
        <v>1120</v>
      </c>
      <c r="H5" s="4" t="inlineStr">
        <is>
          <t>Livrée</t>
        </is>
      </c>
      <c r="I5" s="5" t="inlineStr">
        <is>
          <t>oui</t>
        </is>
      </c>
    </row>
    <row r="6">
      <c r="A6" s="4" t="n">
        <v>2</v>
      </c>
      <c r="B6" s="4" t="inlineStr">
        <is>
          <t>SO2610-139805</t>
        </is>
      </c>
      <c r="C6" s="4" t="inlineStr">
        <is>
          <t>CU2606-14515 -  LANBOU TINO</t>
        </is>
      </c>
      <c r="D6" s="4" t="inlineStr">
        <is>
          <t>Famla</t>
        </is>
      </c>
      <c r="E6" s="4" t="inlineStr">
        <is>
          <t>Ouest</t>
        </is>
      </c>
      <c r="F6" s="4" t="n">
        <v>6</v>
      </c>
      <c r="G6" s="4" t="n">
        <v>120</v>
      </c>
      <c r="H6" s="4" t="inlineStr">
        <is>
          <t>Livrée</t>
        </is>
      </c>
      <c r="I6" s="5" t="inlineStr">
        <is>
          <t>oui</t>
        </is>
      </c>
    </row>
    <row r="7">
      <c r="A7" s="4" t="n">
        <v>3</v>
      </c>
      <c r="B7" s="4" t="inlineStr">
        <is>
          <t>SO2610-139898</t>
        </is>
      </c>
      <c r="C7" s="4" t="inlineStr">
        <is>
          <t>CU2407-00601 -  FOKO</t>
        </is>
      </c>
      <c r="D7" s="4" t="inlineStr">
        <is>
          <t>Famla</t>
        </is>
      </c>
      <c r="E7" s="4" t="inlineStr">
        <is>
          <t>Ouest</t>
        </is>
      </c>
      <c r="F7" s="4" t="n">
        <v>1.25</v>
      </c>
      <c r="G7" s="4" t="n">
        <v>25</v>
      </c>
      <c r="H7" s="4" t="inlineStr">
        <is>
          <t>Livrée</t>
        </is>
      </c>
      <c r="I7" s="5" t="inlineStr">
        <is>
          <t>oui</t>
        </is>
      </c>
    </row>
    <row r="8">
      <c r="A8" s="4" t="n">
        <v>4</v>
      </c>
      <c r="B8" s="4" t="inlineStr">
        <is>
          <t>SO2610-139786</t>
        </is>
      </c>
      <c r="C8" s="4" t="inlineStr">
        <is>
          <t>CU2504-13345 -  STE K'MDEU FARMS SARL (PEUMENI PASCAL)</t>
        </is>
      </c>
      <c r="D8" s="4" t="inlineStr">
        <is>
          <t>Pk11</t>
        </is>
      </c>
      <c r="E8" s="4" t="inlineStr">
        <is>
          <t>Littoral</t>
        </is>
      </c>
      <c r="F8" s="4" t="n">
        <v>1</v>
      </c>
      <c r="G8" s="4" t="n">
        <v>20</v>
      </c>
      <c r="H8" s="4" t="inlineStr">
        <is>
          <t>Livrée</t>
        </is>
      </c>
      <c r="I8" s="5" t="inlineStr">
        <is>
          <t>oui</t>
        </is>
      </c>
    </row>
    <row r="9">
      <c r="A9" s="4" t="n">
        <v>5</v>
      </c>
      <c r="B9" s="4" t="inlineStr">
        <is>
          <t>SO2610-139893</t>
        </is>
      </c>
      <c r="C9" s="4" t="inlineStr">
        <is>
          <t>ZOCL00002000 -  KUHLIFARM COOP-BOD (KUHLIFARM COOP-BOD)</t>
        </is>
      </c>
      <c r="D9" s="4" t="inlineStr">
        <is>
          <t>Nkongsamba</t>
        </is>
      </c>
      <c r="E9" s="4" t="inlineStr">
        <is>
          <t>Littoral</t>
        </is>
      </c>
      <c r="F9" s="4" t="n">
        <v>1</v>
      </c>
      <c r="G9" s="4" t="n">
        <v>20</v>
      </c>
      <c r="H9" s="4" t="inlineStr">
        <is>
          <t>Livrée</t>
        </is>
      </c>
      <c r="I9" s="5" t="inlineStr">
        <is>
          <t>oui</t>
        </is>
      </c>
    </row>
    <row r="10">
      <c r="A10" s="4" t="n">
        <v>6</v>
      </c>
      <c r="B10" s="4" t="inlineStr">
        <is>
          <t>SO2610-139910</t>
        </is>
      </c>
      <c r="C10" s="4" t="inlineStr">
        <is>
          <t>CU2406-00012 -  CLIENTS COMPTOIR PK11</t>
        </is>
      </c>
      <c r="D10" s="4" t="inlineStr">
        <is>
          <t>Pk11</t>
        </is>
      </c>
      <c r="E10" s="4" t="inlineStr">
        <is>
          <t>Littoral</t>
        </is>
      </c>
      <c r="F10" s="4" t="n">
        <v>0.25</v>
      </c>
      <c r="G10" s="4" t="n">
        <v>5</v>
      </c>
      <c r="H10" s="4" t="inlineStr">
        <is>
          <t>Livrée</t>
        </is>
      </c>
      <c r="I10" s="5" t="inlineStr">
        <is>
          <t>oui</t>
        </is>
      </c>
    </row>
    <row r="11">
      <c r="A11" s="4" t="n">
        <v>7</v>
      </c>
      <c r="B11" s="4" t="inlineStr">
        <is>
          <t>SO2610-139970</t>
        </is>
      </c>
      <c r="C11" s="4" t="inlineStr">
        <is>
          <t>CU2406-00012 -  CLIENTS COMPTOIR PK11</t>
        </is>
      </c>
      <c r="D11" s="4" t="inlineStr">
        <is>
          <t>Pk11</t>
        </is>
      </c>
      <c r="E11" s="4" t="inlineStr">
        <is>
          <t>Littoral</t>
        </is>
      </c>
      <c r="F11" s="4" t="n">
        <v>0.25</v>
      </c>
      <c r="G11" s="4" t="n">
        <v>5</v>
      </c>
      <c r="H11" s="4" t="inlineStr">
        <is>
          <t>Livrée</t>
        </is>
      </c>
      <c r="I11" s="5" t="inlineStr">
        <is>
          <t>oui</t>
        </is>
      </c>
    </row>
    <row r="12">
      <c r="A12" s="4" t="n">
        <v>8</v>
      </c>
      <c r="B12" s="4" t="inlineStr">
        <is>
          <t>SO2610-139799</t>
        </is>
      </c>
      <c r="C12" s="4" t="inlineStr">
        <is>
          <t>CU2406-00012 -  CLIENTS COMPTOIR PK11</t>
        </is>
      </c>
      <c r="D12" s="4" t="inlineStr">
        <is>
          <t>Pk11</t>
        </is>
      </c>
      <c r="E12" s="4" t="inlineStr">
        <is>
          <t>Littoral</t>
        </is>
      </c>
      <c r="F12" s="4" t="n">
        <v>0.15</v>
      </c>
      <c r="G12" s="4" t="n">
        <v>3</v>
      </c>
      <c r="H12" s="4" t="inlineStr">
        <is>
          <t>Livrée</t>
        </is>
      </c>
      <c r="I12" s="5" t="inlineStr">
        <is>
          <t>oui</t>
        </is>
      </c>
    </row>
    <row r="13">
      <c r="A13" s="4" t="n">
        <v>9</v>
      </c>
      <c r="B13" s="4" t="inlineStr">
        <is>
          <t>SO2610-139756</t>
        </is>
      </c>
      <c r="C13" s="4" t="inlineStr">
        <is>
          <t>CU2406-00122 -  CLIENTS COMPTOIR FAMLA</t>
        </is>
      </c>
      <c r="D13" s="4" t="inlineStr">
        <is>
          <t>Famla</t>
        </is>
      </c>
      <c r="E13" s="4" t="inlineStr">
        <is>
          <t>Ouest</t>
        </is>
      </c>
      <c r="F13" s="4" t="n">
        <v>0.1</v>
      </c>
      <c r="G13" s="4" t="n">
        <v>2</v>
      </c>
      <c r="H13" s="4" t="inlineStr">
        <is>
          <t>Livrée</t>
        </is>
      </c>
      <c r="I13" s="5" t="inlineStr">
        <is>
          <t>oui</t>
        </is>
      </c>
    </row>
    <row r="14">
      <c r="A14" s="4" t="n">
        <v>10</v>
      </c>
      <c r="B14" s="4" t="inlineStr">
        <is>
          <t>SO2610-139832</t>
        </is>
      </c>
      <c r="C14" s="4" t="inlineStr">
        <is>
          <t>CU2406-00122 -  CLIENTS COMPTOIR FAMLA</t>
        </is>
      </c>
      <c r="D14" s="4" t="inlineStr">
        <is>
          <t>Famla</t>
        </is>
      </c>
      <c r="E14" s="4" t="inlineStr">
        <is>
          <t>Ouest</t>
        </is>
      </c>
      <c r="F14" s="4" t="n">
        <v>0.1</v>
      </c>
      <c r="G14" s="4" t="n">
        <v>2</v>
      </c>
      <c r="H14" s="4" t="inlineStr">
        <is>
          <t>Livrée</t>
        </is>
      </c>
      <c r="I14" s="5" t="inlineStr">
        <is>
          <t>oui</t>
        </is>
      </c>
    </row>
    <row r="15">
      <c r="A15" s="4" t="n">
        <v>11</v>
      </c>
      <c r="B15" s="4" t="inlineStr">
        <is>
          <t>SO2610-139853</t>
        </is>
      </c>
      <c r="C15" s="4" t="inlineStr">
        <is>
          <t>CU2406-00004 -  CLIENT COMPTOIR AXE LOURD</t>
        </is>
      </c>
      <c r="D15" s="4" t="inlineStr">
        <is>
          <t>Village</t>
        </is>
      </c>
      <c r="E15" s="4" t="inlineStr">
        <is>
          <t>Littoral</t>
        </is>
      </c>
      <c r="F15" s="4" t="n">
        <v>0.1</v>
      </c>
      <c r="G15" s="4" t="n">
        <v>2</v>
      </c>
      <c r="H15" s="4" t="inlineStr">
        <is>
          <t>Livrée</t>
        </is>
      </c>
      <c r="I15" s="5" t="inlineStr">
        <is>
          <t>oui</t>
        </is>
      </c>
    </row>
    <row r="16">
      <c r="A16" s="4" t="n">
        <v>12</v>
      </c>
      <c r="B16" s="4" t="inlineStr">
        <is>
          <t>SO2610-139925</t>
        </is>
      </c>
      <c r="C16" s="4" t="inlineStr">
        <is>
          <t>CU2406-00012 -  CLIENTS COMPTOIR PK11</t>
        </is>
      </c>
      <c r="D16" s="4" t="inlineStr">
        <is>
          <t>Pk11</t>
        </is>
      </c>
      <c r="E16" s="4" t="inlineStr">
        <is>
          <t>Littoral</t>
        </is>
      </c>
      <c r="F16" s="4" t="n">
        <v>0.1</v>
      </c>
      <c r="G16" s="4" t="n">
        <v>2</v>
      </c>
      <c r="H16" s="4" t="inlineStr">
        <is>
          <t>Livrée</t>
        </is>
      </c>
      <c r="I16" s="5" t="inlineStr">
        <is>
          <t>oui</t>
        </is>
      </c>
    </row>
    <row r="17">
      <c r="A17" s="4" t="n">
        <v>13</v>
      </c>
      <c r="B17" s="4" t="inlineStr">
        <is>
          <t>SO2610-139971</t>
        </is>
      </c>
      <c r="C17" s="4" t="inlineStr">
        <is>
          <t>CU2407-00148 -  CLIENTS COMPTOIR NKOABANG</t>
        </is>
      </c>
      <c r="D17" s="4" t="inlineStr">
        <is>
          <t>Nkoabang</t>
        </is>
      </c>
      <c r="E17" s="4" t="inlineStr">
        <is>
          <t>Centre</t>
        </is>
      </c>
      <c r="F17" s="4" t="n">
        <v>0.1</v>
      </c>
      <c r="G17" s="4" t="n">
        <v>2</v>
      </c>
      <c r="H17" s="4" t="inlineStr">
        <is>
          <t>Livrée</t>
        </is>
      </c>
      <c r="I17" s="5" t="inlineStr">
        <is>
          <t>oui</t>
        </is>
      </c>
    </row>
    <row r="18">
      <c r="A18" s="4" t="n">
        <v>14</v>
      </c>
      <c r="B18" s="4" t="inlineStr">
        <is>
          <t>SO2610-139791</t>
        </is>
      </c>
      <c r="C18" s="4" t="inlineStr">
        <is>
          <t>CU2407-00149 -  CLIENTS COMPTOIR NKOLBISSON</t>
        </is>
      </c>
      <c r="D18" s="4" t="inlineStr">
        <is>
          <t>Nkolbisson</t>
        </is>
      </c>
      <c r="E18" s="4" t="inlineStr">
        <is>
          <t>Centre</t>
        </is>
      </c>
      <c r="F18" s="4" t="n">
        <v>0.05</v>
      </c>
      <c r="G18" s="4" t="n">
        <v>1</v>
      </c>
      <c r="H18" s="4" t="inlineStr">
        <is>
          <t>Livrée</t>
        </is>
      </c>
      <c r="I18" s="5" t="inlineStr">
        <is>
          <t>oui</t>
        </is>
      </c>
    </row>
    <row r="19">
      <c r="A19" s="4" t="n">
        <v>15</v>
      </c>
      <c r="B19" s="4" t="inlineStr">
        <is>
          <t>SO2610-139784</t>
        </is>
      </c>
      <c r="C19" s="4" t="inlineStr">
        <is>
          <t>CU2406-00122 -  CLIENTS COMPTOIR FAMLA</t>
        </is>
      </c>
      <c r="D19" s="4" t="inlineStr">
        <is>
          <t>Famla</t>
        </is>
      </c>
      <c r="E19" s="4" t="inlineStr">
        <is>
          <t>Ouest</t>
        </is>
      </c>
      <c r="F19" s="4" t="n">
        <v>0.05</v>
      </c>
      <c r="G19" s="4" t="n">
        <v>1</v>
      </c>
      <c r="H19" s="4" t="inlineStr">
        <is>
          <t>Livrée</t>
        </is>
      </c>
      <c r="I19" s="5" t="inlineStr">
        <is>
          <t>oui</t>
        </is>
      </c>
    </row>
    <row r="20">
      <c r="A20" s="4" t="n">
        <v>16</v>
      </c>
      <c r="B20" s="4" t="inlineStr">
        <is>
          <t>SO2610-139808</t>
        </is>
      </c>
      <c r="C20" s="4" t="inlineStr">
        <is>
          <t>CU2508-13471 -  TCHEDING MIKE MARIE</t>
        </is>
      </c>
      <c r="D20" s="4" t="inlineStr">
        <is>
          <t>Nkolbisson</t>
        </is>
      </c>
      <c r="E20" s="4" t="inlineStr">
        <is>
          <t>Centre</t>
        </is>
      </c>
      <c r="F20" s="4" t="n">
        <v>0.05</v>
      </c>
      <c r="G20" s="4" t="n">
        <v>1</v>
      </c>
      <c r="H20" s="4" t="inlineStr">
        <is>
          <t>Livrée</t>
        </is>
      </c>
      <c r="I20" s="5" t="inlineStr">
        <is>
          <t>oui</t>
        </is>
      </c>
    </row>
    <row r="21">
      <c r="A21" s="4" t="n">
        <v>17</v>
      </c>
      <c r="B21" s="4" t="inlineStr">
        <is>
          <t>SO2610-139826</t>
        </is>
      </c>
      <c r="C21" s="4" t="inlineStr">
        <is>
          <t>CU2406-00004 -  CLIENT COMPTOIR AXE LOURD</t>
        </is>
      </c>
      <c r="D21" s="4" t="inlineStr">
        <is>
          <t>Village</t>
        </is>
      </c>
      <c r="E21" s="4" t="inlineStr">
        <is>
          <t>Littoral</t>
        </is>
      </c>
      <c r="F21" s="4" t="n">
        <v>0.05</v>
      </c>
      <c r="G21" s="4" t="n">
        <v>1</v>
      </c>
      <c r="H21" s="4" t="inlineStr">
        <is>
          <t>Livrée</t>
        </is>
      </c>
      <c r="I21" s="5" t="inlineStr">
        <is>
          <t>oui</t>
        </is>
      </c>
    </row>
    <row r="22">
      <c r="A22" s="4" t="n">
        <v>18</v>
      </c>
      <c r="B22" s="4" t="inlineStr">
        <is>
          <t>SO2610-139867</t>
        </is>
      </c>
      <c r="C22" s="4" t="inlineStr">
        <is>
          <t>CU2406-00122 -  CLIENTS COMPTOIR FAMLA</t>
        </is>
      </c>
      <c r="D22" s="4" t="inlineStr">
        <is>
          <t>Famla</t>
        </is>
      </c>
      <c r="E22" s="4" t="inlineStr">
        <is>
          <t>Ouest</t>
        </is>
      </c>
      <c r="F22" s="4" t="n">
        <v>0.05</v>
      </c>
      <c r="G22" s="4" t="n">
        <v>1</v>
      </c>
      <c r="H22" s="4" t="inlineStr">
        <is>
          <t>Livrée</t>
        </is>
      </c>
      <c r="I22" s="5" t="inlineStr">
        <is>
          <t>oui</t>
        </is>
      </c>
    </row>
    <row r="23">
      <c r="A23" s="4" t="n">
        <v>19</v>
      </c>
      <c r="B23" s="4" t="inlineStr">
        <is>
          <t>SO2610-139868</t>
        </is>
      </c>
      <c r="C23" s="4" t="inlineStr">
        <is>
          <t>CU2407-00148 -  CLIENTS COMPTOIR NKOABANG</t>
        </is>
      </c>
      <c r="D23" s="4" t="inlineStr">
        <is>
          <t>Nkoabang</t>
        </is>
      </c>
      <c r="E23" s="4" t="inlineStr">
        <is>
          <t>Centre</t>
        </is>
      </c>
      <c r="F23" s="4" t="n">
        <v>0.05</v>
      </c>
      <c r="G23" s="4" t="n">
        <v>1</v>
      </c>
      <c r="H23" s="4" t="inlineStr">
        <is>
          <t>Livrée</t>
        </is>
      </c>
      <c r="I23" s="5" t="inlineStr">
        <is>
          <t>oui</t>
        </is>
      </c>
    </row>
    <row r="24">
      <c r="A24" s="4" t="n">
        <v>20</v>
      </c>
      <c r="B24" s="4" t="inlineStr">
        <is>
          <t>SO2610-139892</t>
        </is>
      </c>
      <c r="C24" s="4" t="inlineStr">
        <is>
          <t>CU2406-00004 -  CLIENT COMPTOIR AXE LOURD</t>
        </is>
      </c>
      <c r="D24" s="4" t="inlineStr">
        <is>
          <t>Village</t>
        </is>
      </c>
      <c r="E24" s="4" t="inlineStr">
        <is>
          <t>Littoral</t>
        </is>
      </c>
      <c r="F24" s="4" t="n">
        <v>0.05</v>
      </c>
      <c r="G24" s="4" t="n">
        <v>1</v>
      </c>
      <c r="H24" s="4" t="inlineStr">
        <is>
          <t>Livrée</t>
        </is>
      </c>
      <c r="I24" s="5" t="inlineStr">
        <is>
          <t>oui</t>
        </is>
      </c>
    </row>
    <row r="25">
      <c r="A25" s="4" t="n">
        <v>21</v>
      </c>
      <c r="B25" s="4" t="inlineStr">
        <is>
          <t>SO2610-139949</t>
        </is>
      </c>
      <c r="C25" s="4" t="inlineStr">
        <is>
          <t>CU2406-00122 -  CLIENTS COMPTOIR FAMLA</t>
        </is>
      </c>
      <c r="D25" s="4" t="inlineStr">
        <is>
          <t>Famla</t>
        </is>
      </c>
      <c r="E25" s="4" t="inlineStr">
        <is>
          <t>Ouest</t>
        </is>
      </c>
      <c r="F25" s="4" t="n">
        <v>0.05</v>
      </c>
      <c r="G25" s="4" t="n">
        <v>1</v>
      </c>
      <c r="H25" s="4" t="inlineStr">
        <is>
          <t>Livrée</t>
        </is>
      </c>
      <c r="I25" s="5" t="inlineStr">
        <is>
          <t>oui</t>
        </is>
      </c>
    </row>
    <row r="26">
      <c r="A26" s="4" t="n">
        <v>22</v>
      </c>
      <c r="B26" s="4" t="inlineStr">
        <is>
          <t>SO2610-139967</t>
        </is>
      </c>
      <c r="C26" s="4" t="inlineStr">
        <is>
          <t>CU2406-00122 -  CLIENTS COMPTOIR FAMLA</t>
        </is>
      </c>
      <c r="D26" s="4" t="inlineStr">
        <is>
          <t>Famla</t>
        </is>
      </c>
      <c r="E26" s="4" t="inlineStr">
        <is>
          <t>Ouest</t>
        </is>
      </c>
      <c r="F26" s="4" t="n">
        <v>0.05</v>
      </c>
      <c r="G26" s="4" t="n">
        <v>1</v>
      </c>
      <c r="H26" s="4" t="inlineStr">
        <is>
          <t>Livrée</t>
        </is>
      </c>
      <c r="I26" s="5" t="inlineStr">
        <is>
          <t>oui</t>
        </is>
      </c>
    </row>
    <row r="27">
      <c r="A27" s="4" t="n">
        <v>23</v>
      </c>
      <c r="B27" s="4" t="inlineStr">
        <is>
          <t>SO2610-139914</t>
        </is>
      </c>
      <c r="C27" s="4" t="inlineStr">
        <is>
          <t>CU2407-00175 -  CLIENT COMPTOIR NKONGSSAMBA</t>
        </is>
      </c>
      <c r="D27" s="4" t="inlineStr">
        <is>
          <t>Nkongsamba</t>
        </is>
      </c>
      <c r="E27" s="4" t="inlineStr">
        <is>
          <t>Littoral</t>
        </is>
      </c>
      <c r="F27" s="4" t="n">
        <v>0.01</v>
      </c>
      <c r="G27" s="4" t="n">
        <v>0</v>
      </c>
      <c r="H27" s="4" t="inlineStr">
        <is>
          <t>Livrée</t>
        </is>
      </c>
      <c r="I27" s="5" t="inlineStr">
        <is>
          <t>oui</t>
        </is>
      </c>
    </row>
    <row r="28">
      <c r="A28" s="8" t="n"/>
      <c r="B28" s="8" t="n"/>
      <c r="C28" s="8" t="inlineStr">
        <is>
          <t>TOTAL</t>
        </is>
      </c>
      <c r="D28" s="8" t="n"/>
      <c r="E28" s="8" t="n"/>
      <c r="F28" s="8" t="n">
        <v>66.90000000000001</v>
      </c>
      <c r="G28" s="8" t="n">
        <v>1337</v>
      </c>
      <c r="H28" s="8" t="n"/>
      <c r="I28" s="8" t="n"/>
    </row>
    <row r="30">
      <c r="A30" s="10" t="inlineStr">
        <is>
          <t>Total soja-only: 23 cmdes (66.9 t) le 03/10/2026</t>
        </is>
      </c>
    </row>
    <row r="31">
      <c r="A31" s="2" t="inlineStr">
        <is>
          <t>Precedent (30/09): 38 cmdes (79.3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</cols>
  <sheetData>
    <row r="1">
      <c r="A1" s="1" t="inlineStr">
        <is>
          <t>TABLEAU 4 - Stock SOJA et date rupture</t>
        </is>
      </c>
    </row>
    <row r="2">
      <c r="A2" s="2" t="inlineStr">
        <is>
          <t>Aucune mesure de stock physique fournie depuis le 08/08/2026 (magasins centraux BEKOKO). La date de rupture ne peut pas etre recalculee. Mise a jour 05/10/2026.</t>
        </is>
      </c>
    </row>
    <row r="4">
      <c r="A4" s="3" t="inlineStr">
        <is>
          <t>Element</t>
        </is>
      </c>
      <c r="B4" s="3" t="inlineStr">
        <is>
          <t>Valeur</t>
        </is>
      </c>
      <c r="C4" s="3" t="inlineStr">
        <is>
          <t>Detail</t>
        </is>
      </c>
    </row>
    <row r="5">
      <c r="A5" s="4" t="inlineStr">
        <is>
          <t>Derniere mesure physique</t>
        </is>
      </c>
      <c r="B5" s="4" t="inlineStr">
        <is>
          <t>08/08/2026</t>
        </is>
      </c>
      <c r="C5" s="4" t="inlineStr">
        <is>
          <t>Magasins centraux BEKOKO</t>
        </is>
      </c>
    </row>
    <row r="6">
      <c r="A6" s="4" t="inlineStr">
        <is>
          <t>Sacs 50 kg (T102)</t>
        </is>
      </c>
      <c r="B6" s="4" t="inlineStr">
        <is>
          <t>80 384</t>
        </is>
      </c>
      <c r="C6" s="4" t="inlineStr">
        <is>
          <t>Stock physique mesure</t>
        </is>
      </c>
    </row>
    <row r="7">
      <c r="A7" s="4" t="inlineStr">
        <is>
          <t>Sacs 1 kg (T1021)</t>
        </is>
      </c>
      <c r="B7" s="4" t="inlineStr">
        <is>
          <t>2 245</t>
        </is>
      </c>
      <c r="C7" s="4" t="inlineStr">
        <is>
          <t>Stock physique mesure</t>
        </is>
      </c>
    </row>
    <row r="8">
      <c r="A8" s="4" t="inlineStr">
        <is>
          <t>Sacs 5 kg (T1023)</t>
        </is>
      </c>
      <c r="B8" s="4" t="inlineStr">
        <is>
          <t>4</t>
        </is>
      </c>
      <c r="C8" s="4" t="inlineStr">
        <is>
          <t>Stock physique mesure</t>
        </is>
      </c>
    </row>
    <row r="9">
      <c r="A9" s="4" t="inlineStr">
        <is>
          <t>Sacs 25 kg (T1024)</t>
        </is>
      </c>
      <c r="B9" s="4" t="inlineStr">
        <is>
          <t>1</t>
        </is>
      </c>
      <c r="C9" s="4" t="inlineStr">
        <is>
          <t>Stock physique mesure</t>
        </is>
      </c>
    </row>
    <row r="10">
      <c r="A10" s="4" t="inlineStr">
        <is>
          <t>Exclusion SPC</t>
        </is>
      </c>
      <c r="B10" s="4" t="inlineStr">
        <is>
          <t>9 200 sacs eq 50kg</t>
        </is>
      </c>
      <c r="C10" s="4" t="inlineStr">
        <is>
          <t>Allocation a l'entite soeur</t>
        </is>
      </c>
    </row>
    <row r="11">
      <c r="A11" s="4" t="inlineStr">
        <is>
          <t>Ventes soja octobre (MTD, Livree)</t>
        </is>
      </c>
      <c r="B11" s="4" t="inlineStr">
        <is>
          <t>610.6 t</t>
        </is>
      </c>
      <c r="C11" s="4" t="inlineStr">
        <is>
          <t>01-03/10 (rien de Livré le 04-05/10)</t>
        </is>
      </c>
    </row>
    <row r="12">
      <c r="A12" s="4" t="inlineStr">
        <is>
          <t>Ventes concentres octobre (MTD, Livree)</t>
        </is>
      </c>
      <c r="B12" s="4" t="inlineStr">
        <is>
          <t>171.6 t</t>
        </is>
      </c>
      <c r="C12" s="4" t="inlineStr">
        <is>
          <t>01-03/10 (rien de Livré le 04-05/10)</t>
        </is>
      </c>
    </row>
    <row r="14">
      <c r="A14" s="10" t="inlineStr">
        <is>
          <t>ANALYSE: Sans nouvelle mesure de stock physique, la projection de rupture (methode BEKOKO: stock net - consommation hebdomadaire) ne peut pas etre actualisee pour octobre.</t>
        </is>
      </c>
    </row>
    <row r="15">
      <c r="A15" s="9" t="inlineStr">
        <is>
          <t>Action: demander une mesure physique des magasins centraux BEKOKO (formats 50/1/5/25 kg) pour relancer le calcul.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(Octobre 2026)</t>
        </is>
      </c>
    </row>
    <row r="2">
      <c r="A2" s="2" t="inlineStr">
        <is>
          <t>Données Livrées au 05/10/2026.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01/10/2026</t>
        </is>
      </c>
      <c r="B5" s="4" t="n">
        <v>1</v>
      </c>
      <c r="C5" s="4" t="inlineStr">
        <is>
          <t>Jeu</t>
        </is>
      </c>
      <c r="D5" s="4" t="n">
        <v>222.3</v>
      </c>
      <c r="E5" s="4" t="n">
        <v>69</v>
      </c>
      <c r="F5" s="4" t="inlineStr">
        <is>
          <t>3.22:1</t>
        </is>
      </c>
      <c r="G5" t="n">
        <v>3.22</v>
      </c>
    </row>
    <row r="6">
      <c r="A6" s="4" t="inlineStr">
        <is>
          <t>02/10/2026</t>
        </is>
      </c>
      <c r="B6" s="4" t="n">
        <v>2</v>
      </c>
      <c r="C6" s="4" t="inlineStr">
        <is>
          <t>Ven</t>
        </is>
      </c>
      <c r="D6" s="4" t="n">
        <v>223.5</v>
      </c>
      <c r="E6" s="4" t="n">
        <v>67.3</v>
      </c>
      <c r="F6" s="4" t="inlineStr">
        <is>
          <t>3.32:1</t>
        </is>
      </c>
      <c r="G6" t="n">
        <v>3.32</v>
      </c>
    </row>
    <row r="7">
      <c r="A7" s="4" t="inlineStr">
        <is>
          <t>03/10/2026</t>
        </is>
      </c>
      <c r="B7" s="4" t="n">
        <v>3</v>
      </c>
      <c r="C7" s="4" t="inlineStr">
        <is>
          <t>Sam</t>
        </is>
      </c>
      <c r="D7" s="4" t="n">
        <v>164.9</v>
      </c>
      <c r="E7" s="4" t="n">
        <v>35.2</v>
      </c>
      <c r="F7" s="4" t="inlineStr">
        <is>
          <t>4.69:1</t>
        </is>
      </c>
      <c r="G7" t="n">
        <v>4.69</v>
      </c>
    </row>
    <row r="8">
      <c r="A8" s="15" t="inlineStr">
        <is>
          <t>04/10/2026</t>
        </is>
      </c>
      <c r="B8" s="15" t="n">
        <v>4</v>
      </c>
      <c r="C8" s="15" t="inlineStr">
        <is>
          <t>Dim</t>
        </is>
      </c>
      <c r="D8" s="15" t="n">
        <v>0</v>
      </c>
      <c r="E8" s="15" t="n">
        <v>0</v>
      </c>
      <c r="F8" s="15" t="inlineStr">
        <is>
          <t>—</t>
        </is>
      </c>
    </row>
    <row r="9">
      <c r="A9" s="4" t="inlineStr">
        <is>
          <t>05/10/2026</t>
        </is>
      </c>
      <c r="B9" s="4" t="n">
        <v>5</v>
      </c>
      <c r="C9" s="4" t="inlineStr">
        <is>
          <t>Lun</t>
        </is>
      </c>
      <c r="D9" s="4" t="n">
        <v>0</v>
      </c>
      <c r="E9" s="4" t="n">
        <v>0</v>
      </c>
      <c r="F9" s="4" t="inlineStr">
        <is>
          <t>—</t>
        </is>
      </c>
    </row>
    <row r="13">
      <c r="A13" s="13" t="inlineStr">
        <is>
          <t>NOTES DE LECTURE:</t>
        </is>
      </c>
    </row>
    <row r="14">
      <c r="A14" s="16" t="inlineStr">
        <is>
          <t>• La ligne "Soja" (bleu) montre la consommation journalière de tourteaux de soja (prix de référence: 23 879 FCFA/sac en septembre 2026).</t>
        </is>
      </c>
    </row>
    <row r="15">
      <c r="A15" s="16" t="inlineStr">
        <is>
          <t>• La ligne "Concentrés" (or) montre la consommation journalière de concentrés (BELGO Chair/Ponte/Porc).</t>
        </is>
      </c>
    </row>
    <row r="16">
      <c r="A16" s="16" t="inlineStr">
        <is>
          <t>• Le ratio soja:conc cible est 3:1 (objectif bundle). Un ratio supérieur signifie que les clients achètent plus de soja que de concentrés — dégradation du bundle.</t>
        </is>
      </c>
    </row>
    <row r="17">
      <c r="A17" s="16" t="inlineStr">
        <is>
          <t>• Les dimanches sont grisés (pas de ventes). Octobre est un mois en cours (MTD au 05/10).</t>
        </is>
      </c>
    </row>
    <row r="18">
      <c r="A18" s="16" t="inlineStr">
        <is>
          <t>• À observer: la tendance soja/concentrés en début octobre vs septembre — le ratio doit rester proche de 3:1.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William Francis Fohom, Data Analyst</dc:creator>
  <dcterms:created xsi:type="dcterms:W3CDTF">2026-10-05T08:54:24Z</dcterms:created>
  <dcterms:modified xsi:type="dcterms:W3CDTF">2026-10-05T08:54:25Z</dcterms:modified>
  <cp:lastModifiedBy>William Francis Fohom, Data Analyst</cp:lastModifiedBy>
</cp:coreProperties>
</file>