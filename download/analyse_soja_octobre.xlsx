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 - Moy jour soja par agence" sheetId="1" state="visible" r:id="rId1"/>
    <sheet name="T2 - Commandes soja 10-10" sheetId="2" state="visible" r:id="rId2"/>
    <sheet name="T3 - Soja-only 10-10" sheetId="3" state="visible" r:id="rId3"/>
    <sheet name="T4 - Stock soja et rupture" sheetId="4" state="visible" r:id="rId4"/>
    <sheet name="T5 - Tendance Octob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  <sz val="10"/>
    </font>
    <font>
      <b val="1"/>
      <color rgb="00FFFFFF"/>
      <sz val="11"/>
    </font>
    <font>
      <i val="1"/>
      <color rgb="00375623"/>
      <sz val="10"/>
    </font>
    <font>
      <b val="1"/>
      <color rgb="001F4E78"/>
      <sz val="11"/>
    </font>
    <font>
      <b val="1"/>
      <color rgb="00C00000"/>
      <sz val="10"/>
    </font>
    <font>
      <b val="1"/>
      <sz val="11"/>
    </font>
    <font>
      <i val="1"/>
      <color rgb="00C00000"/>
      <sz val="10"/>
    </font>
    <font>
      <b val="1"/>
      <sz val="10"/>
    </font>
    <font>
      <color rgb="00008000"/>
      <sz val="10"/>
    </font>
    <font>
      <color rgb="00C00000"/>
      <sz val="10"/>
    </font>
    <font>
      <b val="1"/>
      <color rgb="00008000"/>
      <sz val="10"/>
    </font>
    <font>
      <i val="1"/>
      <color rgb="00595959"/>
      <sz val="9"/>
    </font>
    <font>
      <i val="1"/>
      <color rgb="00808080"/>
    </font>
    <font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3" borderId="1" pivotButton="0" quotePrefix="0" xfId="0"/>
    <xf numFmtId="0" fontId="5" fillId="4" borderId="1" pivotButton="0" quotePrefix="0" xfId="0"/>
    <xf numFmtId="0" fontId="7" fillId="5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1" pivotButton="0" quotePrefix="0" xfId="0"/>
    <xf numFmtId="0" fontId="11" fillId="0" borderId="1" pivotButton="0" quotePrefix="0" xfId="0"/>
    <xf numFmtId="0" fontId="5" fillId="0" borderId="0" pivotButton="0" quotePrefix="0" xfId="0"/>
    <xf numFmtId="0" fontId="13" fillId="0" borderId="0" pivotButton="0" quotePrefix="0" xfId="0"/>
    <xf numFmtId="0" fontId="14" fillId="6" borderId="1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Tendance journalière — Soja vs Concentrés (Octobre 2026)</a:t>
            </a:r>
          </a:p>
        </rich>
      </tx>
    </title>
    <plotArea>
      <lineChart>
        <grouping val="standard"/>
        <ser>
          <idx val="0"/>
          <order val="0"/>
          <tx>
            <strRef>
              <f>'T5 - Tendance Octobre'!D4</f>
            </strRef>
          </tx>
          <spPr>
            <a:solidFill>
              <a:srgbClr val="1F4E78"/>
            </a:solidFill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'T5 - Tendance Octobre'!$A$5:$A$14</f>
            </numRef>
          </cat>
          <val>
            <numRef>
              <f>'T5 - Tendance Octobre'!$D$5:$D$14</f>
            </numRef>
          </val>
        </ser>
        <ser>
          <idx val="1"/>
          <order val="1"/>
          <tx>
            <strRef>
              <f>'T5 - Tendance Octobre'!E4</f>
            </strRef>
          </tx>
          <spPr>
            <a:solidFill>
              <a:srgbClr val="C9A961"/>
            </a:solidFill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'T5 - Tendance Octobre'!$A$5:$A$14</f>
            </numRef>
          </cat>
          <val>
            <numRef>
              <f>'T5 - Tendance Octobre'!$E$5:$E$14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Tonnes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Ratio soja:concentrés par jour (objectif 3:1)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'T5 - Tendance Octobre'!G4</f>
            </strRef>
          </tx>
          <spPr>
            <a:ln>
              <a:prstDash val="solid"/>
            </a:ln>
          </spPr>
          <cat>
            <numRef>
              <f>'T5 - Tendance Octobre'!$A$5:$A$14</f>
            </numRef>
          </cat>
          <val>
            <numRef>
              <f>'T5 - Tendance Octobre'!$G$5:$G$14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Ratio (soja:conc)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29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14" customWidth="1" min="4" max="4"/>
    <col width="24" customWidth="1" min="5" max="5"/>
  </cols>
  <sheetData>
    <row r="1">
      <c r="A1" s="1" t="inlineStr">
        <is>
          <t>TABLEAU 1 - Moyenne journaliere SOJA octobre par agence/region</t>
        </is>
      </c>
    </row>
    <row r="2">
      <c r="A2" s="2" t="inlineStr">
        <is>
          <t>01/10 au 10/10/2026 (9j). Livree. lun-sam. Mise a jour 10/10/2026.</t>
        </is>
      </c>
    </row>
    <row r="4">
      <c r="A4" s="3" t="inlineStr">
        <is>
          <t>Agence</t>
        </is>
      </c>
      <c r="B4" s="3" t="inlineStr">
        <is>
          <t>Region</t>
        </is>
      </c>
      <c r="C4" s="3" t="inlineStr">
        <is>
          <t>Total soja (t)</t>
        </is>
      </c>
      <c r="D4" s="3" t="inlineStr">
        <is>
          <t>Moy/jour (t)</t>
        </is>
      </c>
      <c r="E4" s="3" t="inlineStr">
        <is>
          <t>Evolution vs 30/09</t>
        </is>
      </c>
    </row>
    <row r="5">
      <c r="A5" s="4" t="inlineStr">
        <is>
          <t>Famla</t>
        </is>
      </c>
      <c r="B5" s="4" t="inlineStr">
        <is>
          <t>Ouest</t>
        </is>
      </c>
      <c r="C5" s="4" t="n">
        <v>710.4</v>
      </c>
      <c r="D5" s="4" t="n">
        <v>78.90000000000001</v>
      </c>
      <c r="E5" s="5" t="inlineStr">
        <is>
          <t>+27.5 t/j</t>
        </is>
      </c>
    </row>
    <row r="6">
      <c r="A6" s="4" t="inlineStr">
        <is>
          <t>Ndobo</t>
        </is>
      </c>
      <c r="B6" s="4" t="inlineStr">
        <is>
          <t>Littoral</t>
        </is>
      </c>
      <c r="C6" s="4" t="n">
        <v>362.3</v>
      </c>
      <c r="D6" s="4" t="n">
        <v>40.3</v>
      </c>
      <c r="E6" s="5" t="inlineStr">
        <is>
          <t>+18.8 t/j</t>
        </is>
      </c>
    </row>
    <row r="7">
      <c r="A7" s="4" t="inlineStr">
        <is>
          <t>Djeleng</t>
        </is>
      </c>
      <c r="B7" s="4" t="inlineStr">
        <is>
          <t>Ouest</t>
        </is>
      </c>
      <c r="C7" s="4" t="n">
        <v>283.1</v>
      </c>
      <c r="D7" s="4" t="n">
        <v>31.5</v>
      </c>
      <c r="E7" s="5" t="inlineStr">
        <is>
          <t>+15.3 t/j</t>
        </is>
      </c>
    </row>
    <row r="8">
      <c r="A8" s="4" t="inlineStr">
        <is>
          <t>Messassi</t>
        </is>
      </c>
      <c r="B8" s="4" t="inlineStr">
        <is>
          <t>Centre</t>
        </is>
      </c>
      <c r="C8" s="4" t="n">
        <v>194</v>
      </c>
      <c r="D8" s="4" t="n">
        <v>21.6</v>
      </c>
      <c r="E8" s="5" t="inlineStr">
        <is>
          <t>+6.4 t/j</t>
        </is>
      </c>
    </row>
    <row r="9">
      <c r="A9" s="4" t="inlineStr">
        <is>
          <t>Village</t>
        </is>
      </c>
      <c r="B9" s="4" t="inlineStr">
        <is>
          <t>Littoral</t>
        </is>
      </c>
      <c r="C9" s="4" t="n">
        <v>122.5</v>
      </c>
      <c r="D9" s="4" t="n">
        <v>13.6</v>
      </c>
      <c r="E9" s="5" t="inlineStr">
        <is>
          <t>+1.9 t/j</t>
        </is>
      </c>
    </row>
    <row r="10">
      <c r="A10" s="4" t="inlineStr">
        <is>
          <t>Ahala</t>
        </is>
      </c>
      <c r="B10" s="4" t="inlineStr">
        <is>
          <t>Centre</t>
        </is>
      </c>
      <c r="C10" s="4" t="n">
        <v>117.3</v>
      </c>
      <c r="D10" s="4" t="n">
        <v>13</v>
      </c>
      <c r="E10" s="5" t="inlineStr">
        <is>
          <t>+2.6 t/j</t>
        </is>
      </c>
    </row>
    <row r="11">
      <c r="A11" s="4" t="inlineStr">
        <is>
          <t>Nkoabang</t>
        </is>
      </c>
      <c r="B11" s="4" t="inlineStr">
        <is>
          <t>Centre</t>
        </is>
      </c>
      <c r="C11" s="4" t="n">
        <v>115.3</v>
      </c>
      <c r="D11" s="4" t="n">
        <v>12.8</v>
      </c>
      <c r="E11" s="5" t="inlineStr">
        <is>
          <t>+2.6 t/j</t>
        </is>
      </c>
    </row>
    <row r="12">
      <c r="A12" s="4" t="inlineStr">
        <is>
          <t>Mbouda</t>
        </is>
      </c>
      <c r="B12" s="4" t="inlineStr">
        <is>
          <t>Ouest</t>
        </is>
      </c>
      <c r="C12" s="4" t="n">
        <v>113</v>
      </c>
      <c r="D12" s="4" t="n">
        <v>12.6</v>
      </c>
      <c r="E12" s="5" t="inlineStr">
        <is>
          <t>+4.2 t/j</t>
        </is>
      </c>
    </row>
    <row r="13">
      <c r="A13" s="4" t="inlineStr">
        <is>
          <t>Pk11</t>
        </is>
      </c>
      <c r="B13" s="4" t="inlineStr">
        <is>
          <t>Littoral</t>
        </is>
      </c>
      <c r="C13" s="4" t="n">
        <v>99</v>
      </c>
      <c r="D13" s="4" t="n">
        <v>11</v>
      </c>
      <c r="E13" s="5" t="inlineStr">
        <is>
          <t>+2.2 t/j</t>
        </is>
      </c>
    </row>
    <row r="14">
      <c r="A14" s="4" t="inlineStr">
        <is>
          <t>Nkongsamba</t>
        </is>
      </c>
      <c r="B14" s="4" t="inlineStr">
        <is>
          <t>Littoral</t>
        </is>
      </c>
      <c r="C14" s="4" t="n">
        <v>96</v>
      </c>
      <c r="D14" s="4" t="n">
        <v>10.7</v>
      </c>
      <c r="E14" s="5" t="inlineStr">
        <is>
          <t>+4.1 t/j</t>
        </is>
      </c>
    </row>
    <row r="15">
      <c r="A15" s="4" t="inlineStr">
        <is>
          <t>Bertoua</t>
        </is>
      </c>
      <c r="B15" s="4" t="inlineStr">
        <is>
          <t>Centre</t>
        </is>
      </c>
      <c r="C15" s="4" t="n">
        <v>90.90000000000001</v>
      </c>
      <c r="D15" s="4" t="n">
        <v>10.1</v>
      </c>
      <c r="E15" s="5" t="inlineStr">
        <is>
          <t>+2.2 t/j</t>
        </is>
      </c>
    </row>
    <row r="16">
      <c r="A16" s="4" t="inlineStr">
        <is>
          <t>Buea</t>
        </is>
      </c>
      <c r="B16" s="4" t="inlineStr">
        <is>
          <t>Littoral</t>
        </is>
      </c>
      <c r="C16" s="4" t="n">
        <v>67.5</v>
      </c>
      <c r="D16" s="4" t="n">
        <v>7.5</v>
      </c>
      <c r="E16" s="5" t="inlineStr">
        <is>
          <t>+1.6 t/j</t>
        </is>
      </c>
    </row>
    <row r="17">
      <c r="A17" s="4" t="inlineStr">
        <is>
          <t>Nkolbisson</t>
        </is>
      </c>
      <c r="B17" s="4" t="inlineStr">
        <is>
          <t>Centre</t>
        </is>
      </c>
      <c r="C17" s="4" t="n">
        <v>47.1</v>
      </c>
      <c r="D17" s="4" t="n">
        <v>5.2</v>
      </c>
      <c r="E17" s="5" t="inlineStr">
        <is>
          <t>+2.8 t/j</t>
        </is>
      </c>
    </row>
    <row r="18">
      <c r="A18" s="4" t="inlineStr">
        <is>
          <t>Ngaoundere</t>
        </is>
      </c>
      <c r="B18" s="4" t="inlineStr">
        <is>
          <t>Centre</t>
        </is>
      </c>
      <c r="C18" s="4" t="n">
        <v>30.8</v>
      </c>
      <c r="D18" s="4" t="n">
        <v>3.4</v>
      </c>
      <c r="E18" s="5" t="inlineStr">
        <is>
          <t>+1.1 t/j</t>
        </is>
      </c>
    </row>
    <row r="19">
      <c r="A19" s="4" t="inlineStr">
        <is>
          <t>AGENCE MAROUA</t>
        </is>
      </c>
      <c r="B19" s="4" t="inlineStr">
        <is>
          <t>?</t>
        </is>
      </c>
      <c r="C19" s="4" t="n">
        <v>2</v>
      </c>
      <c r="D19" s="4" t="n">
        <v>0.2</v>
      </c>
      <c r="E19" s="4" t="inlineStr">
        <is>
          <t>-0.1 t/j</t>
        </is>
      </c>
    </row>
    <row r="20">
      <c r="A20" s="6" t="inlineStr">
        <is>
          <t>TOTAL Ouest</t>
        </is>
      </c>
      <c r="B20" s="6" t="inlineStr">
        <is>
          <t>Ouest</t>
        </is>
      </c>
      <c r="C20" s="6" t="n">
        <v>1106.4</v>
      </c>
      <c r="D20" s="6" t="n">
        <v>122.9</v>
      </c>
      <c r="E20" s="6" t="n"/>
    </row>
    <row r="21">
      <c r="A21" s="6" t="inlineStr">
        <is>
          <t>TOTAL Centre</t>
        </is>
      </c>
      <c r="B21" s="6" t="inlineStr">
        <is>
          <t>Centre</t>
        </is>
      </c>
      <c r="C21" s="6" t="n">
        <v>595.4</v>
      </c>
      <c r="D21" s="6" t="n">
        <v>66.2</v>
      </c>
      <c r="E21" s="6" t="n"/>
    </row>
    <row r="22">
      <c r="A22" s="6" t="inlineStr">
        <is>
          <t>TOTAL Littoral</t>
        </is>
      </c>
      <c r="B22" s="6" t="inlineStr">
        <is>
          <t>Littoral</t>
        </is>
      </c>
      <c r="C22" s="6" t="n">
        <v>747.3</v>
      </c>
      <c r="D22" s="6" t="n">
        <v>83</v>
      </c>
      <c r="E22" s="6" t="n"/>
    </row>
    <row r="23">
      <c r="A23" s="7" t="inlineStr">
        <is>
          <t>TOTAL</t>
        </is>
      </c>
      <c r="B23" s="7" t="n"/>
      <c r="C23" s="7" t="n">
        <v>2451.1</v>
      </c>
      <c r="D23" s="7" t="n">
        <v>272.3</v>
      </c>
      <c r="E23" s="7" t="inlineStr">
        <is>
          <t>+93.1 t/j vs 179.3</t>
        </is>
      </c>
    </row>
    <row r="25">
      <c r="A25" s="8" t="inlineStr">
        <is>
          <t>NOTE: Prix du soja en septembre 2026: 23 879 FCFA/sac (hausse de +2 000 XAF/sac depuis le 23/07/2026).</t>
        </is>
      </c>
    </row>
    <row r="26">
      <c r="A26" s="9" t="inlineStr">
        <is>
          <t>Moyenne/jour globale: 272.3 t/j (5446 sacs) sur 9j.</t>
        </is>
      </c>
    </row>
    <row r="27">
      <c r="A27" s="2" t="inlineStr">
        <is>
          <t>Precedent (30/09): 179.3 t/j (3585 sacs) sur 26j.</t>
        </is>
      </c>
    </row>
    <row r="28">
      <c r="A28" s="2" t="inlineStr">
        <is>
          <t>Note: extraction du 12/10 — commandes Livrées jusqu'au 10/10 (le 11/10 est un dimanche).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2" customWidth="1" min="5" max="5"/>
    <col width="14" customWidth="1" min="6" max="6"/>
    <col width="28" customWidth="1" min="7" max="7"/>
  </cols>
  <sheetData>
    <row r="1">
      <c r="A1" s="1" t="inlineStr">
        <is>
          <t>TABLEAU 2 - Commandes SOJA le 10/10/2026 par agence</t>
        </is>
      </c>
    </row>
    <row r="2">
      <c r="A2" s="2" t="inlineStr">
        <is>
          <t>Livree. Ratio en sacs 50kg-equivalent. Mise a jour 10/10/2026.</t>
        </is>
      </c>
    </row>
    <row r="4">
      <c r="A4" s="3" t="inlineStr">
        <is>
          <t>Agence</t>
        </is>
      </c>
      <c r="B4" s="3" t="inlineStr">
        <is>
          <t>Region</t>
        </is>
      </c>
      <c r="C4" s="3" t="inlineStr">
        <is>
          <t>Cmds</t>
        </is>
      </c>
      <c r="D4" s="3" t="inlineStr">
        <is>
          <t>Bundle</t>
        </is>
      </c>
      <c r="E4" s="3" t="inlineStr">
        <is>
          <t>Soja-only</t>
        </is>
      </c>
      <c r="F4" s="3" t="inlineStr">
        <is>
          <t>Ratio moy</t>
        </is>
      </c>
      <c r="G4" s="3" t="inlineStr">
        <is>
          <t>Evolution cmdes vs 30/09</t>
        </is>
      </c>
    </row>
    <row r="5">
      <c r="A5" s="4" t="inlineStr">
        <is>
          <t>Famla</t>
        </is>
      </c>
      <c r="B5" s="4" t="inlineStr">
        <is>
          <t>Ouest</t>
        </is>
      </c>
      <c r="C5" s="4" t="n">
        <v>26</v>
      </c>
      <c r="D5" s="4" t="n">
        <v>19</v>
      </c>
      <c r="E5" s="4" t="n">
        <v>7</v>
      </c>
      <c r="F5" s="4" t="inlineStr">
        <is>
          <t>3.9:1</t>
        </is>
      </c>
      <c r="G5" s="10" t="inlineStr">
        <is>
          <t>-17 cmdes</t>
        </is>
      </c>
    </row>
    <row r="6">
      <c r="A6" s="4" t="inlineStr">
        <is>
          <t>Messassi</t>
        </is>
      </c>
      <c r="B6" s="4" t="inlineStr">
        <is>
          <t>Centre</t>
        </is>
      </c>
      <c r="C6" s="4" t="n">
        <v>20</v>
      </c>
      <c r="D6" s="4" t="n">
        <v>20</v>
      </c>
      <c r="E6" s="4" t="n">
        <v>0</v>
      </c>
      <c r="F6" s="4" t="inlineStr">
        <is>
          <t>2.6:1</t>
        </is>
      </c>
      <c r="G6" s="10" t="inlineStr">
        <is>
          <t>-2 cmdes</t>
        </is>
      </c>
    </row>
    <row r="7">
      <c r="A7" s="4" t="inlineStr">
        <is>
          <t>Pk11</t>
        </is>
      </c>
      <c r="B7" s="4" t="inlineStr">
        <is>
          <t>Littoral</t>
        </is>
      </c>
      <c r="C7" s="4" t="n">
        <v>10</v>
      </c>
      <c r="D7" s="4" t="n">
        <v>7</v>
      </c>
      <c r="E7" s="4" t="n">
        <v>3</v>
      </c>
      <c r="F7" s="4" t="inlineStr">
        <is>
          <t>1.7:1</t>
        </is>
      </c>
      <c r="G7" s="10" t="inlineStr">
        <is>
          <t>-6 cmdes</t>
        </is>
      </c>
    </row>
    <row r="8">
      <c r="A8" s="4" t="inlineStr">
        <is>
          <t>Buea</t>
        </is>
      </c>
      <c r="B8" s="4" t="inlineStr">
        <is>
          <t>Littoral</t>
        </is>
      </c>
      <c r="C8" s="4" t="n">
        <v>10</v>
      </c>
      <c r="D8" s="4" t="n">
        <v>8</v>
      </c>
      <c r="E8" s="4" t="n">
        <v>2</v>
      </c>
      <c r="F8" s="4" t="inlineStr">
        <is>
          <t>3.2:1</t>
        </is>
      </c>
      <c r="G8" s="11" t="inlineStr">
        <is>
          <t>+4 cmdes</t>
        </is>
      </c>
    </row>
    <row r="9">
      <c r="A9" s="4" t="inlineStr">
        <is>
          <t>Mbouda</t>
        </is>
      </c>
      <c r="B9" s="4" t="inlineStr">
        <is>
          <t>Ouest</t>
        </is>
      </c>
      <c r="C9" s="4" t="n">
        <v>9</v>
      </c>
      <c r="D9" s="4" t="n">
        <v>9</v>
      </c>
      <c r="E9" s="4" t="n">
        <v>0</v>
      </c>
      <c r="F9" s="4" t="inlineStr">
        <is>
          <t>1.3:1</t>
        </is>
      </c>
      <c r="G9" s="11" t="inlineStr">
        <is>
          <t>+2 cmdes</t>
        </is>
      </c>
    </row>
    <row r="10">
      <c r="A10" s="4" t="inlineStr">
        <is>
          <t>Nkolbisson</t>
        </is>
      </c>
      <c r="B10" s="4" t="inlineStr">
        <is>
          <t>Centre</t>
        </is>
      </c>
      <c r="C10" s="4" t="n">
        <v>9</v>
      </c>
      <c r="D10" s="4" t="n">
        <v>9</v>
      </c>
      <c r="E10" s="4" t="n">
        <v>0</v>
      </c>
      <c r="F10" s="4" t="inlineStr">
        <is>
          <t>2.8:1</t>
        </is>
      </c>
      <c r="G10" s="11" t="inlineStr">
        <is>
          <t>+2 cmdes</t>
        </is>
      </c>
    </row>
    <row r="11">
      <c r="A11" s="4" t="inlineStr">
        <is>
          <t>Bertoua</t>
        </is>
      </c>
      <c r="B11" s="4" t="inlineStr">
        <is>
          <t>Centre</t>
        </is>
      </c>
      <c r="C11" s="4" t="n">
        <v>7</v>
      </c>
      <c r="D11" s="4" t="n">
        <v>7</v>
      </c>
      <c r="E11" s="4" t="n">
        <v>0</v>
      </c>
      <c r="F11" s="4" t="inlineStr">
        <is>
          <t>1.2:1</t>
        </is>
      </c>
      <c r="G11" s="10" t="inlineStr">
        <is>
          <t>-11 cmdes</t>
        </is>
      </c>
    </row>
    <row r="12">
      <c r="A12" s="4" t="inlineStr">
        <is>
          <t>Ahala</t>
        </is>
      </c>
      <c r="B12" s="4" t="inlineStr">
        <is>
          <t>Centre</t>
        </is>
      </c>
      <c r="C12" s="4" t="n">
        <v>7</v>
      </c>
      <c r="D12" s="4" t="n">
        <v>7</v>
      </c>
      <c r="E12" s="4" t="n">
        <v>0</v>
      </c>
      <c r="F12" s="4" t="inlineStr">
        <is>
          <t>2.5:1</t>
        </is>
      </c>
      <c r="G12" s="10" t="inlineStr">
        <is>
          <t>-6 cmdes</t>
        </is>
      </c>
    </row>
    <row r="13">
      <c r="A13" s="4" t="inlineStr">
        <is>
          <t>Djeleng</t>
        </is>
      </c>
      <c r="B13" s="4" t="inlineStr">
        <is>
          <t>Ouest</t>
        </is>
      </c>
      <c r="C13" s="4" t="n">
        <v>5</v>
      </c>
      <c r="D13" s="4" t="n">
        <v>3</v>
      </c>
      <c r="E13" s="4" t="n">
        <v>2</v>
      </c>
      <c r="F13" s="4" t="inlineStr">
        <is>
          <t>2.6:1</t>
        </is>
      </c>
      <c r="G13" s="10" t="inlineStr">
        <is>
          <t>-9 cmdes</t>
        </is>
      </c>
    </row>
    <row r="14">
      <c r="A14" s="4" t="inlineStr">
        <is>
          <t>Nkoabang</t>
        </is>
      </c>
      <c r="B14" s="4" t="inlineStr">
        <is>
          <t>Centre</t>
        </is>
      </c>
      <c r="C14" s="4" t="n">
        <v>5</v>
      </c>
      <c r="D14" s="4" t="n">
        <v>5</v>
      </c>
      <c r="E14" s="4" t="n">
        <v>0</v>
      </c>
      <c r="F14" s="4" t="inlineStr">
        <is>
          <t>3.6:1</t>
        </is>
      </c>
      <c r="G14" s="10" t="inlineStr">
        <is>
          <t>-3 cmdes</t>
        </is>
      </c>
    </row>
    <row r="15">
      <c r="A15" s="4" t="inlineStr">
        <is>
          <t>Nkongsamba</t>
        </is>
      </c>
      <c r="B15" s="4" t="inlineStr">
        <is>
          <t>Littoral</t>
        </is>
      </c>
      <c r="C15" s="4" t="n">
        <v>3</v>
      </c>
      <c r="D15" s="4" t="n">
        <v>3</v>
      </c>
      <c r="E15" s="4" t="n">
        <v>0</v>
      </c>
      <c r="F15" s="4" t="inlineStr">
        <is>
          <t>1.5:1</t>
        </is>
      </c>
      <c r="G15" s="10" t="inlineStr">
        <is>
          <t>-6 cmdes</t>
        </is>
      </c>
    </row>
    <row r="16">
      <c r="A16" s="7" t="inlineStr">
        <is>
          <t>TOTAL</t>
        </is>
      </c>
      <c r="B16" s="7" t="n"/>
      <c r="C16" s="7" t="n">
        <v>111</v>
      </c>
      <c r="D16" s="7" t="n">
        <v>97</v>
      </c>
      <c r="E16" s="7" t="n">
        <v>14</v>
      </c>
      <c r="F16" s="7" t="inlineStr">
        <is>
          <t>2.3:1</t>
        </is>
      </c>
      <c r="G16" s="7" t="inlineStr">
        <is>
          <t>-84 cmdes vs 195</t>
        </is>
      </c>
    </row>
    <row r="18">
      <c r="A18" s="12" t="inlineStr">
        <is>
          <t>Distribution ratios (bundle seulement)</t>
        </is>
      </c>
    </row>
    <row r="19">
      <c r="A19" s="3" t="inlineStr">
        <is>
          <t>Tranche</t>
        </is>
      </c>
      <c r="B19" s="3" t="inlineStr">
        <is>
          <t>Nb cmdes</t>
        </is>
      </c>
      <c r="C19" s="3" t="inlineStr">
        <is>
          <t>Part</t>
        </is>
      </c>
    </row>
    <row r="20">
      <c r="A20" s="4" t="inlineStr">
        <is>
          <t>&lt;= 3:1</t>
        </is>
      </c>
      <c r="B20" s="4" t="n">
        <v>75</v>
      </c>
      <c r="C20" s="4" t="inlineStr">
        <is>
          <t>77%</t>
        </is>
      </c>
    </row>
    <row r="21">
      <c r="A21" s="4" t="inlineStr">
        <is>
          <t>3-5:1</t>
        </is>
      </c>
      <c r="B21" s="4" t="n">
        <v>18</v>
      </c>
      <c r="C21" s="4" t="inlineStr">
        <is>
          <t>19%</t>
        </is>
      </c>
    </row>
    <row r="22">
      <c r="A22" s="4" t="inlineStr">
        <is>
          <t>5-10:1</t>
        </is>
      </c>
      <c r="B22" s="4" t="n">
        <v>3</v>
      </c>
      <c r="C22" s="4" t="inlineStr">
        <is>
          <t>3%</t>
        </is>
      </c>
    </row>
    <row r="23">
      <c r="A23" s="4" t="inlineStr">
        <is>
          <t>10-20:1</t>
        </is>
      </c>
      <c r="B23" s="4" t="n">
        <v>1</v>
      </c>
      <c r="C23" s="4" t="inlineStr">
        <is>
          <t>1%</t>
        </is>
      </c>
    </row>
    <row r="24">
      <c r="A24" s="4" t="inlineStr">
        <is>
          <t>&gt; 20:1</t>
        </is>
      </c>
      <c r="B24" s="4" t="n">
        <v>0</v>
      </c>
      <c r="C24" s="4" t="inlineStr">
        <is>
          <t>0%</t>
        </is>
      </c>
    </row>
    <row r="27">
      <c r="A27" s="8" t="inlineStr">
        <is>
          <t>NOTE: Prix du soja: 23 879 FCFA/sac en moyenne septembre 2026 ; octobre MTD 19 318 FCFA/sac — baisse du 07/10 (20 500 → 17 600 FCFA/sac, −14%), au niveau du prix budgété Q4 (17 678).</t>
        </is>
      </c>
    </row>
    <row r="28">
      <c r="A28" s="9" t="inlineStr">
        <is>
          <t>Ratio global: 2.3:1 (vs 3.3:1 le 30/09).</t>
        </is>
      </c>
    </row>
    <row r="30">
      <c r="A30" s="13" t="inlineStr">
        <is>
          <t>Note: T2/T3 portent sur le 10/10 (dernier jour avec commandes Livrées; le 11/10 est un dimanche). Comparaison vs 30/09 (bilan septembre complet).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5" customWidth="1" min="3" max="3"/>
    <col width="16" customWidth="1" min="4" max="4"/>
    <col width="12" customWidth="1" min="5" max="5"/>
    <col width="10" customWidth="1" min="6" max="6"/>
    <col width="8" customWidth="1" min="7" max="7"/>
    <col width="10" customWidth="1" min="8" max="8"/>
    <col width="16" customWidth="1" min="9" max="9"/>
  </cols>
  <sheetData>
    <row r="1">
      <c r="A1" s="1" t="inlineStr">
        <is>
          <t>TABLEAU 3 - SOJA sans concentres le 10/10/2026</t>
        </is>
      </c>
    </row>
    <row r="2">
      <c r="A2" s="2" t="inlineStr">
        <is>
          <t>Livree. Liste detaillee des commandes soja-only.</t>
        </is>
      </c>
    </row>
    <row r="4">
      <c r="A4" s="3" t="inlineStr">
        <is>
          <t>#</t>
        </is>
      </c>
      <c r="B4" s="3" t="inlineStr">
        <is>
          <t>N cmd</t>
        </is>
      </c>
      <c r="C4" s="3" t="inlineStr">
        <is>
          <t>Client</t>
        </is>
      </c>
      <c r="D4" s="3" t="inlineStr">
        <is>
          <t>Agence</t>
        </is>
      </c>
      <c r="E4" s="3" t="inlineStr">
        <is>
          <t>Region</t>
        </is>
      </c>
      <c r="F4" s="3" t="inlineStr">
        <is>
          <t>Soja (t)</t>
        </is>
      </c>
      <c r="G4" s="3" t="inlineStr">
        <is>
          <t>Sacs</t>
        </is>
      </c>
      <c r="H4" s="3" t="inlineStr">
        <is>
          <t>Etat</t>
        </is>
      </c>
      <c r="I4" s="3" t="inlineStr">
        <is>
          <t>Nouveau vs 30/09</t>
        </is>
      </c>
    </row>
    <row r="5">
      <c r="A5" s="4" t="n">
        <v>1</v>
      </c>
      <c r="B5" s="4" t="inlineStr">
        <is>
          <t>SO2610-141809</t>
        </is>
      </c>
      <c r="C5" s="4" t="inlineStr">
        <is>
          <t>CU2407-00759 -  MATENNE MBA CHANTAL OLGA</t>
        </is>
      </c>
      <c r="D5" s="4" t="inlineStr">
        <is>
          <t>Famla</t>
        </is>
      </c>
      <c r="E5" s="4" t="inlineStr">
        <is>
          <t>Ouest</t>
        </is>
      </c>
      <c r="F5" s="4" t="n">
        <v>5</v>
      </c>
      <c r="G5" s="4" t="n">
        <v>100</v>
      </c>
      <c r="H5" s="4" t="inlineStr">
        <is>
          <t>Livrée</t>
        </is>
      </c>
      <c r="I5" s="5" t="inlineStr">
        <is>
          <t>oui</t>
        </is>
      </c>
    </row>
    <row r="6">
      <c r="A6" s="4" t="n">
        <v>2</v>
      </c>
      <c r="B6" s="4" t="inlineStr">
        <is>
          <t>SO2610-141788</t>
        </is>
      </c>
      <c r="C6" s="4" t="inlineStr">
        <is>
          <t>CU2507-13426 -  ZANGHO WILFRIED</t>
        </is>
      </c>
      <c r="D6" s="4" t="inlineStr">
        <is>
          <t>Famla</t>
        </is>
      </c>
      <c r="E6" s="4" t="inlineStr">
        <is>
          <t>Ouest</t>
        </is>
      </c>
      <c r="F6" s="4" t="n">
        <v>2</v>
      </c>
      <c r="G6" s="4" t="n">
        <v>40</v>
      </c>
      <c r="H6" s="4" t="inlineStr">
        <is>
          <t>Livrée</t>
        </is>
      </c>
      <c r="I6" s="5" t="inlineStr">
        <is>
          <t>oui</t>
        </is>
      </c>
    </row>
    <row r="7">
      <c r="A7" s="4" t="n">
        <v>3</v>
      </c>
      <c r="B7" s="4" t="inlineStr">
        <is>
          <t>SO2610-141972</t>
        </is>
      </c>
      <c r="C7" s="4" t="inlineStr">
        <is>
          <t>CU2407-00412 -  WANDJA JEAN CLAUDE</t>
        </is>
      </c>
      <c r="D7" s="4" t="inlineStr">
        <is>
          <t>Buea</t>
        </is>
      </c>
      <c r="E7" s="4" t="inlineStr">
        <is>
          <t>Littoral</t>
        </is>
      </c>
      <c r="F7" s="4" t="n">
        <v>1</v>
      </c>
      <c r="G7" s="4" t="n">
        <v>20</v>
      </c>
      <c r="H7" s="4" t="inlineStr">
        <is>
          <t>Livrée</t>
        </is>
      </c>
      <c r="I7" s="5" t="inlineStr">
        <is>
          <t>oui</t>
        </is>
      </c>
    </row>
    <row r="8">
      <c r="A8" s="4" t="n">
        <v>4</v>
      </c>
      <c r="B8" s="4" t="inlineStr">
        <is>
          <t>SO2610-141960</t>
        </is>
      </c>
      <c r="C8" s="4" t="inlineStr">
        <is>
          <t>CU2406-00012 -  CLIENTS COMPTOIR PK11</t>
        </is>
      </c>
      <c r="D8" s="4" t="inlineStr">
        <is>
          <t>Pk11</t>
        </is>
      </c>
      <c r="E8" s="4" t="inlineStr">
        <is>
          <t>Littoral</t>
        </is>
      </c>
      <c r="F8" s="4" t="n">
        <v>0.3</v>
      </c>
      <c r="G8" s="4" t="n">
        <v>6</v>
      </c>
      <c r="H8" s="4" t="inlineStr">
        <is>
          <t>Livrée</t>
        </is>
      </c>
      <c r="I8" s="5" t="inlineStr">
        <is>
          <t>oui</t>
        </is>
      </c>
    </row>
    <row r="9">
      <c r="A9" s="4" t="n">
        <v>5</v>
      </c>
      <c r="B9" s="4" t="inlineStr">
        <is>
          <t>SO2610-141902</t>
        </is>
      </c>
      <c r="C9" s="4" t="inlineStr">
        <is>
          <t>CU2406-00122 -  CLIENTS COMPTOIR FAMLA</t>
        </is>
      </c>
      <c r="D9" s="4" t="inlineStr">
        <is>
          <t>Famla</t>
        </is>
      </c>
      <c r="E9" s="4" t="inlineStr">
        <is>
          <t>Ouest</t>
        </is>
      </c>
      <c r="F9" s="4" t="n">
        <v>0.2</v>
      </c>
      <c r="G9" s="4" t="n">
        <v>4</v>
      </c>
      <c r="H9" s="4" t="inlineStr">
        <is>
          <t>Livrée</t>
        </is>
      </c>
      <c r="I9" s="5" t="inlineStr">
        <is>
          <t>oui</t>
        </is>
      </c>
    </row>
    <row r="10">
      <c r="A10" s="4" t="n">
        <v>6</v>
      </c>
      <c r="B10" s="4" t="inlineStr">
        <is>
          <t>SO2610-141910</t>
        </is>
      </c>
      <c r="C10" s="4" t="inlineStr">
        <is>
          <t>CU2406-00122 -  CLIENTS COMPTOIR FAMLA</t>
        </is>
      </c>
      <c r="D10" s="4" t="inlineStr">
        <is>
          <t>Famla</t>
        </is>
      </c>
      <c r="E10" s="4" t="inlineStr">
        <is>
          <t>Ouest</t>
        </is>
      </c>
      <c r="F10" s="4" t="n">
        <v>0.15</v>
      </c>
      <c r="G10" s="4" t="n">
        <v>3</v>
      </c>
      <c r="H10" s="4" t="inlineStr">
        <is>
          <t>Livrée</t>
        </is>
      </c>
      <c r="I10" s="5" t="inlineStr">
        <is>
          <t>oui</t>
        </is>
      </c>
    </row>
    <row r="11">
      <c r="A11" s="4" t="n">
        <v>7</v>
      </c>
      <c r="B11" s="4" t="inlineStr">
        <is>
          <t>SO2610-141812</t>
        </is>
      </c>
      <c r="C11" s="4" t="inlineStr">
        <is>
          <t>CU2406-00122 -  CLIENTS COMPTOIR FAMLA</t>
        </is>
      </c>
      <c r="D11" s="4" t="inlineStr">
        <is>
          <t>Famla</t>
        </is>
      </c>
      <c r="E11" s="4" t="inlineStr">
        <is>
          <t>Ouest</t>
        </is>
      </c>
      <c r="F11" s="4" t="n">
        <v>0.1</v>
      </c>
      <c r="G11" s="4" t="n">
        <v>2</v>
      </c>
      <c r="H11" s="4" t="inlineStr">
        <is>
          <t>Livrée</t>
        </is>
      </c>
      <c r="I11" s="5" t="inlineStr">
        <is>
          <t>oui</t>
        </is>
      </c>
    </row>
    <row r="12">
      <c r="A12" s="4" t="n">
        <v>8</v>
      </c>
      <c r="B12" s="4" t="inlineStr">
        <is>
          <t>SO2610-141814</t>
        </is>
      </c>
      <c r="C12" s="4" t="inlineStr">
        <is>
          <t>CU2406-00122 -  CLIENTS COMPTOIR FAMLA</t>
        </is>
      </c>
      <c r="D12" s="4" t="inlineStr">
        <is>
          <t>Famla</t>
        </is>
      </c>
      <c r="E12" s="4" t="inlineStr">
        <is>
          <t>Ouest</t>
        </is>
      </c>
      <c r="F12" s="4" t="n">
        <v>0.1</v>
      </c>
      <c r="G12" s="4" t="n">
        <v>2</v>
      </c>
      <c r="H12" s="4" t="inlineStr">
        <is>
          <t>Livrée</t>
        </is>
      </c>
      <c r="I12" s="5" t="inlineStr">
        <is>
          <t>oui</t>
        </is>
      </c>
    </row>
    <row r="13">
      <c r="A13" s="4" t="n">
        <v>9</v>
      </c>
      <c r="B13" s="4" t="inlineStr">
        <is>
          <t>SO2610-141904</t>
        </is>
      </c>
      <c r="C13" s="4" t="inlineStr">
        <is>
          <t>CU2406-00012 -  CLIENTS COMPTOIR PK11</t>
        </is>
      </c>
      <c r="D13" s="4" t="inlineStr">
        <is>
          <t>Pk11</t>
        </is>
      </c>
      <c r="E13" s="4" t="inlineStr">
        <is>
          <t>Littoral</t>
        </is>
      </c>
      <c r="F13" s="4" t="n">
        <v>0.1</v>
      </c>
      <c r="G13" s="4" t="n">
        <v>2</v>
      </c>
      <c r="H13" s="4" t="inlineStr">
        <is>
          <t>Livrée</t>
        </is>
      </c>
      <c r="I13" s="5" t="inlineStr">
        <is>
          <t>oui</t>
        </is>
      </c>
    </row>
    <row r="14">
      <c r="A14" s="4" t="n">
        <v>10</v>
      </c>
      <c r="B14" s="4" t="inlineStr">
        <is>
          <t>SO2610-141903</t>
        </is>
      </c>
      <c r="C14" s="4" t="inlineStr">
        <is>
          <t>CU2407-00140 -  CLIENTS COMPTOIR BAF-DJELENG</t>
        </is>
      </c>
      <c r="D14" s="4" t="inlineStr">
        <is>
          <t>Djeleng</t>
        </is>
      </c>
      <c r="E14" s="4" t="inlineStr">
        <is>
          <t>Ouest</t>
        </is>
      </c>
      <c r="F14" s="4" t="n">
        <v>0.1</v>
      </c>
      <c r="G14" s="4" t="n">
        <v>2</v>
      </c>
      <c r="H14" s="4" t="inlineStr">
        <is>
          <t>Livrée</t>
        </is>
      </c>
      <c r="I14" s="5" t="inlineStr">
        <is>
          <t>oui</t>
        </is>
      </c>
    </row>
    <row r="15">
      <c r="A15" s="4" t="n">
        <v>11</v>
      </c>
      <c r="B15" s="4" t="inlineStr">
        <is>
          <t>SO2610-141779</t>
        </is>
      </c>
      <c r="C15" s="4" t="inlineStr">
        <is>
          <t>CU2406-00012 -  CLIENTS COMPTOIR PK11</t>
        </is>
      </c>
      <c r="D15" s="4" t="inlineStr">
        <is>
          <t>Pk11</t>
        </is>
      </c>
      <c r="E15" s="4" t="inlineStr">
        <is>
          <t>Littoral</t>
        </is>
      </c>
      <c r="F15" s="4" t="n">
        <v>0.05</v>
      </c>
      <c r="G15" s="4" t="n">
        <v>1</v>
      </c>
      <c r="H15" s="4" t="inlineStr">
        <is>
          <t>Livrée</t>
        </is>
      </c>
      <c r="I15" s="5" t="inlineStr">
        <is>
          <t>oui</t>
        </is>
      </c>
    </row>
    <row r="16">
      <c r="A16" s="4" t="n">
        <v>12</v>
      </c>
      <c r="B16" s="4" t="inlineStr">
        <is>
          <t>SO2610-141819</t>
        </is>
      </c>
      <c r="C16" s="4" t="inlineStr">
        <is>
          <t>CU2406-00122 -  CLIENTS COMPTOIR FAMLA</t>
        </is>
      </c>
      <c r="D16" s="4" t="inlineStr">
        <is>
          <t>Famla</t>
        </is>
      </c>
      <c r="E16" s="4" t="inlineStr">
        <is>
          <t>Ouest</t>
        </is>
      </c>
      <c r="F16" s="4" t="n">
        <v>0.05</v>
      </c>
      <c r="G16" s="4" t="n">
        <v>1</v>
      </c>
      <c r="H16" s="4" t="inlineStr">
        <is>
          <t>Livrée</t>
        </is>
      </c>
      <c r="I16" s="5" t="inlineStr">
        <is>
          <t>oui</t>
        </is>
      </c>
    </row>
    <row r="17">
      <c r="A17" s="4" t="n">
        <v>13</v>
      </c>
      <c r="B17" s="4" t="inlineStr">
        <is>
          <t>SO2610-141896</t>
        </is>
      </c>
      <c r="C17" s="4" t="inlineStr">
        <is>
          <t>CU2407-00140 -  CLIENTS COMPTOIR BAF-DJELENG</t>
        </is>
      </c>
      <c r="D17" s="4" t="inlineStr">
        <is>
          <t>Djeleng</t>
        </is>
      </c>
      <c r="E17" s="4" t="inlineStr">
        <is>
          <t>Ouest</t>
        </is>
      </c>
      <c r="F17" s="4" t="n">
        <v>0.05</v>
      </c>
      <c r="G17" s="4" t="n">
        <v>1</v>
      </c>
      <c r="H17" s="4" t="inlineStr">
        <is>
          <t>Livrée</t>
        </is>
      </c>
      <c r="I17" s="5" t="inlineStr">
        <is>
          <t>oui</t>
        </is>
      </c>
    </row>
    <row r="18">
      <c r="A18" s="4" t="n">
        <v>14</v>
      </c>
      <c r="B18" s="4" t="inlineStr">
        <is>
          <t>SO2610-141986</t>
        </is>
      </c>
      <c r="C18" s="4" t="inlineStr">
        <is>
          <t>CU2406-00076 -  CLIENTS COMPTOIR BUEA</t>
        </is>
      </c>
      <c r="D18" s="4" t="inlineStr">
        <is>
          <t>Buea</t>
        </is>
      </c>
      <c r="E18" s="4" t="inlineStr">
        <is>
          <t>Littoral</t>
        </is>
      </c>
      <c r="F18" s="4" t="n">
        <v>0.01</v>
      </c>
      <c r="G18" s="4" t="n">
        <v>0</v>
      </c>
      <c r="H18" s="4" t="inlineStr">
        <is>
          <t>Livrée</t>
        </is>
      </c>
      <c r="I18" s="5" t="inlineStr">
        <is>
          <t>oui</t>
        </is>
      </c>
    </row>
    <row r="19">
      <c r="A19" s="7" t="n"/>
      <c r="B19" s="7" t="n"/>
      <c r="C19" s="7" t="inlineStr">
        <is>
          <t>TOTAL</t>
        </is>
      </c>
      <c r="D19" s="7" t="n"/>
      <c r="E19" s="7" t="n"/>
      <c r="F19" s="7" t="n">
        <v>9.199999999999999</v>
      </c>
      <c r="G19" s="7" t="n">
        <v>184</v>
      </c>
      <c r="H19" s="7" t="n"/>
      <c r="I19" s="7" t="n"/>
    </row>
    <row r="21">
      <c r="A21" s="9" t="inlineStr">
        <is>
          <t>Total soja-only: 14 cmdes (9.2 t) le 10/10/2026</t>
        </is>
      </c>
    </row>
    <row r="22">
      <c r="A22" s="2" t="inlineStr">
        <is>
          <t>Precedent (30/09): 38 cmdes (79.3 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2" customWidth="1" min="1" max="1"/>
    <col width="26" customWidth="1" min="2" max="2"/>
    <col width="42" customWidth="1" min="3" max="3"/>
  </cols>
  <sheetData>
    <row r="1">
      <c r="A1" s="1" t="inlineStr">
        <is>
          <t>TABLEAU 4 - Stock SOJA et date rupture</t>
        </is>
      </c>
    </row>
    <row r="2">
      <c r="A2" s="2" t="inlineStr">
        <is>
          <t>Aucune mesure de stock physique fournie depuis le 08/08/2026 (magasins centraux BEKOKO). La date de rupture ne peut pas etre recalculee. Mise a jour 10/10/2026.</t>
        </is>
      </c>
    </row>
    <row r="4">
      <c r="A4" s="3" t="inlineStr">
        <is>
          <t>Element</t>
        </is>
      </c>
      <c r="B4" s="3" t="inlineStr">
        <is>
          <t>Valeur</t>
        </is>
      </c>
      <c r="C4" s="3" t="inlineStr">
        <is>
          <t>Detail</t>
        </is>
      </c>
    </row>
    <row r="5">
      <c r="A5" s="4" t="inlineStr">
        <is>
          <t>Derniere mesure physique</t>
        </is>
      </c>
      <c r="B5" s="4" t="inlineStr">
        <is>
          <t>08/08/2026</t>
        </is>
      </c>
      <c r="C5" s="4" t="inlineStr">
        <is>
          <t>Magasins centraux BEKOKO</t>
        </is>
      </c>
    </row>
    <row r="6">
      <c r="A6" s="4" t="inlineStr">
        <is>
          <t>Sacs 50 kg (T102)</t>
        </is>
      </c>
      <c r="B6" s="4" t="inlineStr">
        <is>
          <t>80 384</t>
        </is>
      </c>
      <c r="C6" s="4" t="inlineStr">
        <is>
          <t>Stock physique mesure</t>
        </is>
      </c>
    </row>
    <row r="7">
      <c r="A7" s="4" t="inlineStr">
        <is>
          <t>Sacs 1 kg (T1021)</t>
        </is>
      </c>
      <c r="B7" s="4" t="inlineStr">
        <is>
          <t>2 245</t>
        </is>
      </c>
      <c r="C7" s="4" t="inlineStr">
        <is>
          <t>Stock physique mesure</t>
        </is>
      </c>
    </row>
    <row r="8">
      <c r="A8" s="4" t="inlineStr">
        <is>
          <t>Sacs 5 kg (T1023)</t>
        </is>
      </c>
      <c r="B8" s="4" t="inlineStr">
        <is>
          <t>4</t>
        </is>
      </c>
      <c r="C8" s="4" t="inlineStr">
        <is>
          <t>Stock physique mesure</t>
        </is>
      </c>
    </row>
    <row r="9">
      <c r="A9" s="4" t="inlineStr">
        <is>
          <t>Sacs 25 kg (T1024)</t>
        </is>
      </c>
      <c r="B9" s="4" t="inlineStr">
        <is>
          <t>1</t>
        </is>
      </c>
      <c r="C9" s="4" t="inlineStr">
        <is>
          <t>Stock physique mesure</t>
        </is>
      </c>
    </row>
    <row r="10">
      <c r="A10" s="4" t="inlineStr">
        <is>
          <t>Exclusion SPC</t>
        </is>
      </c>
      <c r="B10" s="4" t="inlineStr">
        <is>
          <t>9 200 sacs eq 50kg</t>
        </is>
      </c>
      <c r="C10" s="4" t="inlineStr">
        <is>
          <t>Allocation a l'entite soeur</t>
        </is>
      </c>
    </row>
    <row r="11">
      <c r="A11" s="4" t="inlineStr">
        <is>
          <t>Ventes soja octobre (MTD, Livree)</t>
        </is>
      </c>
      <c r="B11" s="4" t="inlineStr">
        <is>
          <t>2451.1 t</t>
        </is>
      </c>
      <c r="C11" s="4" t="inlineStr">
        <is>
          <t>01-10/10 (Livrée)</t>
        </is>
      </c>
    </row>
    <row r="12">
      <c r="A12" s="4" t="inlineStr">
        <is>
          <t>Ventes concentres octobre (MTD, Livree)</t>
        </is>
      </c>
      <c r="B12" s="4" t="inlineStr">
        <is>
          <t>693.1 t</t>
        </is>
      </c>
      <c r="C12" s="4" t="inlineStr">
        <is>
          <t>01-10/10 (Livrée)</t>
        </is>
      </c>
    </row>
    <row r="14">
      <c r="A14" s="9" t="inlineStr">
        <is>
          <t>ANALYSE: Sans nouvelle mesure de stock physique, la projection de rupture (methode BEKOKO: stock net - consommation hebdomadaire) ne peut pas etre actualisee pour octobre.</t>
        </is>
      </c>
    </row>
    <row r="15">
      <c r="A15" s="8" t="inlineStr">
        <is>
          <t>Action: demander une mesure physique des magasins centraux BEKOKO (formats 50/1/5/25 kg) pour relancer le calcul.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TABLEAU 5 - Tendance journalière SOJA et CONCENTRÉS (Octobre 2026)</t>
        </is>
      </c>
    </row>
    <row r="2">
      <c r="A2" s="2" t="inlineStr">
        <is>
          <t>Données Livrées au 10/10/2026. Jours ouvrés (lun-sam) en couleur, dimanches en gris.</t>
        </is>
      </c>
    </row>
    <row r="4">
      <c r="A4" s="3" t="inlineStr">
        <is>
          <t>Date</t>
        </is>
      </c>
      <c r="B4" s="3" t="inlineStr">
        <is>
          <t>Jour</t>
        </is>
      </c>
      <c r="C4" s="3" t="inlineStr">
        <is>
          <t>Jour sem.</t>
        </is>
      </c>
      <c r="D4" s="3" t="inlineStr">
        <is>
          <t>Soja (t)</t>
        </is>
      </c>
      <c r="E4" s="3" t="inlineStr">
        <is>
          <t>Concentrés (t)</t>
        </is>
      </c>
      <c r="F4" s="3" t="inlineStr">
        <is>
          <t>Ratio soja:conc</t>
        </is>
      </c>
      <c r="G4" s="3" t="inlineStr">
        <is>
          <t>Ratio numérique</t>
        </is>
      </c>
    </row>
    <row r="5">
      <c r="A5" s="4" t="inlineStr">
        <is>
          <t>01/10/2026</t>
        </is>
      </c>
      <c r="B5" s="4" t="n">
        <v>1</v>
      </c>
      <c r="C5" s="4" t="inlineStr">
        <is>
          <t>Jeu</t>
        </is>
      </c>
      <c r="D5" s="4" t="n">
        <v>224.3</v>
      </c>
      <c r="E5" s="4" t="n">
        <v>69.2</v>
      </c>
      <c r="F5" s="4" t="inlineStr">
        <is>
          <t>3.24:1</t>
        </is>
      </c>
      <c r="G5" t="n">
        <v>3.24</v>
      </c>
    </row>
    <row r="6">
      <c r="A6" s="4" t="inlineStr">
        <is>
          <t>02/10/2026</t>
        </is>
      </c>
      <c r="B6" s="4" t="n">
        <v>2</v>
      </c>
      <c r="C6" s="4" t="inlineStr">
        <is>
          <t>Ven</t>
        </is>
      </c>
      <c r="D6" s="4" t="n">
        <v>311.1</v>
      </c>
      <c r="E6" s="4" t="n">
        <v>84.7</v>
      </c>
      <c r="F6" s="4" t="inlineStr">
        <is>
          <t>3.67:1</t>
        </is>
      </c>
      <c r="G6" t="n">
        <v>3.67</v>
      </c>
    </row>
    <row r="7">
      <c r="A7" s="4" t="inlineStr">
        <is>
          <t>03/10/2026</t>
        </is>
      </c>
      <c r="B7" s="4" t="n">
        <v>3</v>
      </c>
      <c r="C7" s="4" t="inlineStr">
        <is>
          <t>Sam</t>
        </is>
      </c>
      <c r="D7" s="4" t="n">
        <v>247.6</v>
      </c>
      <c r="E7" s="4" t="n">
        <v>52.1</v>
      </c>
      <c r="F7" s="4" t="inlineStr">
        <is>
          <t>4.76:1</t>
        </is>
      </c>
      <c r="G7" t="n">
        <v>4.76</v>
      </c>
    </row>
    <row r="8">
      <c r="A8" s="14" t="inlineStr">
        <is>
          <t>04/10/2026</t>
        </is>
      </c>
      <c r="B8" s="14" t="n">
        <v>4</v>
      </c>
      <c r="C8" s="14" t="inlineStr">
        <is>
          <t>Dim</t>
        </is>
      </c>
      <c r="D8" s="14" t="n">
        <v>0</v>
      </c>
      <c r="E8" s="14" t="n">
        <v>0</v>
      </c>
      <c r="F8" s="14" t="inlineStr">
        <is>
          <t>—</t>
        </is>
      </c>
    </row>
    <row r="9">
      <c r="A9" s="4" t="inlineStr">
        <is>
          <t>05/10/2026</t>
        </is>
      </c>
      <c r="B9" s="4" t="n">
        <v>5</v>
      </c>
      <c r="C9" s="4" t="inlineStr">
        <is>
          <t>Lun</t>
        </is>
      </c>
      <c r="D9" s="4" t="n">
        <v>349.1</v>
      </c>
      <c r="E9" s="4" t="n">
        <v>124.5</v>
      </c>
      <c r="F9" s="4" t="inlineStr">
        <is>
          <t>2.8:1</t>
        </is>
      </c>
      <c r="G9" t="n">
        <v>2.8</v>
      </c>
    </row>
    <row r="10">
      <c r="A10" s="4" t="inlineStr">
        <is>
          <t>06/10/2026</t>
        </is>
      </c>
      <c r="B10" s="4" t="n">
        <v>6</v>
      </c>
      <c r="C10" s="4" t="inlineStr">
        <is>
          <t>Mar</t>
        </is>
      </c>
      <c r="D10" s="4" t="n">
        <v>327.7</v>
      </c>
      <c r="E10" s="4" t="n">
        <v>96.40000000000001</v>
      </c>
      <c r="F10" s="4" t="inlineStr">
        <is>
          <t>3.4:1</t>
        </is>
      </c>
      <c r="G10" t="n">
        <v>3.4</v>
      </c>
    </row>
    <row r="11">
      <c r="A11" s="4" t="inlineStr">
        <is>
          <t>07/10/2026</t>
        </is>
      </c>
      <c r="B11" s="4" t="n">
        <v>7</v>
      </c>
      <c r="C11" s="4" t="inlineStr">
        <is>
          <t>Mer</t>
        </is>
      </c>
      <c r="D11" s="4" t="n">
        <v>269.3</v>
      </c>
      <c r="E11" s="4" t="n">
        <v>86.7</v>
      </c>
      <c r="F11" s="4" t="inlineStr">
        <is>
          <t>3.11:1</t>
        </is>
      </c>
      <c r="G11" t="n">
        <v>3.11</v>
      </c>
    </row>
    <row r="12">
      <c r="A12" s="4" t="inlineStr">
        <is>
          <t>08/10/2026</t>
        </is>
      </c>
      <c r="B12" s="4" t="n">
        <v>8</v>
      </c>
      <c r="C12" s="4" t="inlineStr">
        <is>
          <t>Jeu</t>
        </is>
      </c>
      <c r="D12" s="4" t="n">
        <v>412.8</v>
      </c>
      <c r="E12" s="4" t="n">
        <v>68</v>
      </c>
      <c r="F12" s="4" t="inlineStr">
        <is>
          <t>6.07:1</t>
        </is>
      </c>
      <c r="G12" t="n">
        <v>6.07</v>
      </c>
    </row>
    <row r="13">
      <c r="A13" s="4" t="inlineStr">
        <is>
          <t>09/10/2026</t>
        </is>
      </c>
      <c r="B13" s="4" t="n">
        <v>9</v>
      </c>
      <c r="C13" s="4" t="inlineStr">
        <is>
          <t>Ven</t>
        </is>
      </c>
      <c r="D13" s="4" t="n">
        <v>219.8</v>
      </c>
      <c r="E13" s="4" t="n">
        <v>73.2</v>
      </c>
      <c r="F13" s="4" t="inlineStr">
        <is>
          <t>3.0:1</t>
        </is>
      </c>
      <c r="G13" t="n">
        <v>3</v>
      </c>
    </row>
    <row r="14">
      <c r="A14" s="4" t="inlineStr">
        <is>
          <t>10/10/2026</t>
        </is>
      </c>
      <c r="B14" s="4" t="n">
        <v>10</v>
      </c>
      <c r="C14" s="4" t="inlineStr">
        <is>
          <t>Sam</t>
        </is>
      </c>
      <c r="D14" s="4" t="n">
        <v>89.40000000000001</v>
      </c>
      <c r="E14" s="4" t="n">
        <v>38.3</v>
      </c>
      <c r="F14" s="4" t="inlineStr">
        <is>
          <t>2.33:1</t>
        </is>
      </c>
      <c r="G14" t="n">
        <v>2.33</v>
      </c>
    </row>
    <row r="18">
      <c r="A18" s="12" t="inlineStr">
        <is>
          <t>NOTES DE LECTURE:</t>
        </is>
      </c>
    </row>
    <row r="19">
      <c r="A19" s="15" t="inlineStr">
        <is>
          <t>• La ligne "Soja" (bleu) montre la consommation journalière de tourteaux de soja (prix de référence: 23 879 FCFA/sac en septembre 2026 ; 19 318 FCFA/sac en moyenne octobre MTD).</t>
        </is>
      </c>
    </row>
    <row r="20">
      <c r="A20" s="15" t="inlineStr">
        <is>
          <t>• La ligne "Concentrés" (or) montre la consommation journalière de concentrés (BELGO Chair/Ponte/Porc).</t>
        </is>
      </c>
    </row>
    <row r="21">
      <c r="A21" s="15" t="inlineStr">
        <is>
          <t>• Le ratio soja:conc cible est 3:1 (objectif bundle). Un ratio supérieur signifie que les clients achètent plus de soja que de concentrés — dégradation du bundle.</t>
        </is>
      </c>
    </row>
    <row r="22">
      <c r="A22" s="15" t="inlineStr">
        <is>
          <t>• Les dimanches sont grisés (pas de ventes). Octobre est un mois en cours (MTD au 10/10).</t>
        </is>
      </c>
    </row>
    <row r="23">
      <c r="A23" s="15" t="inlineStr">
        <is>
          <t>• À observer: après la baisse du 07/10 (20 500 → 17 600 FCFA/sac, −14%), la reprise soja se confirme-t-elle sans dégrader le ratio 3:1 ?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William Francis Fohom, Data analyst</dc:creator>
  <dcterms:created xsi:type="dcterms:W3CDTF">2026-10-12T08:01:36Z</dcterms:created>
  <dcterms:modified xsi:type="dcterms:W3CDTF">2026-10-12T08:01:36Z</dcterms:modified>
  <cp:lastModifiedBy>William Francis Fohom, Data analyst</cp:lastModifiedBy>
</cp:coreProperties>
</file>