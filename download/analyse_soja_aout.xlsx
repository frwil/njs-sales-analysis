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8-08" sheetId="2" state="visible" r:id="rId2"/>
    <sheet xmlns:r="http://schemas.openxmlformats.org/officeDocument/2006/relationships" name="T3 - Soja-only 08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  <font>
      <b val="1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  <xf numFmtId="0" fontId="3" fillId="2" borderId="1" pivotButton="0" quotePrefix="0" xfId="0"/>
    <xf numFmtId="0" fontId="17" fillId="5" borderId="1" pivotButton="0" quotePrefix="0" xfId="0"/>
    <xf numFmtId="0" fontId="18" fillId="0" borderId="1" pivotButton="0" quotePrefix="0" xfId="0"/>
    <xf numFmtId="0" fontId="6" fillId="7" borderId="1" pivotButton="0" quotePrefix="0" xfId="0"/>
    <xf numFmtId="0" fontId="17" fillId="7" borderId="1" pivotButton="0" quotePrefix="0" xfId="0"/>
    <xf numFmtId="0" fontId="0" fillId="5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276</v>
      </c>
      <c r="D5" s="4" t="n">
        <v>34.5</v>
      </c>
      <c r="E5" s="5" t="inlineStr">
        <is>
          <t>-39.0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145.2</v>
      </c>
      <c r="D6" s="4" t="n">
        <v>18.1</v>
      </c>
      <c r="E6" s="5" t="inlineStr">
        <is>
          <t>-13.6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89.90000000000001</v>
      </c>
      <c r="D7" s="4" t="n">
        <v>11.2</v>
      </c>
      <c r="E7" s="5" t="inlineStr">
        <is>
          <t>-11.3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87.90000000000001</v>
      </c>
      <c r="D8" s="4" t="n">
        <v>11</v>
      </c>
      <c r="E8" s="5" t="inlineStr">
        <is>
          <t>-5.3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74.5</v>
      </c>
      <c r="D9" s="4" t="n">
        <v>9.300000000000001</v>
      </c>
      <c r="E9" s="5" t="inlineStr">
        <is>
          <t>-48.6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62.5</v>
      </c>
      <c r="D10" s="4" t="n">
        <v>7.8</v>
      </c>
      <c r="E10" s="5" t="inlineStr">
        <is>
          <t>-6.0 t/j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60.1</v>
      </c>
      <c r="D11" s="4" t="n">
        <v>7.5</v>
      </c>
      <c r="E11" s="5" t="inlineStr">
        <is>
          <t>-4.6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56.3</v>
      </c>
      <c r="D12" s="4" t="n">
        <v>7</v>
      </c>
      <c r="E12" s="5" t="inlineStr">
        <is>
          <t>-4.2 t/j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44.3</v>
      </c>
      <c r="D13" s="4" t="n">
        <v>5.5</v>
      </c>
      <c r="E13" s="5" t="inlineStr">
        <is>
          <t>-3.6 t/j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40.3</v>
      </c>
      <c r="D14" s="4" t="n">
        <v>5</v>
      </c>
      <c r="E14" s="5" t="inlineStr">
        <is>
          <t>-0.9 t/j</t>
        </is>
      </c>
    </row>
    <row r="15">
      <c r="A15" s="4" t="inlineStr">
        <is>
          <t>Village</t>
        </is>
      </c>
      <c r="B15" s="4" t="inlineStr">
        <is>
          <t>Littoral</t>
        </is>
      </c>
      <c r="C15" s="4" t="n">
        <v>38.3</v>
      </c>
      <c r="D15" s="4" t="n">
        <v>4.8</v>
      </c>
      <c r="E15" s="5" t="inlineStr">
        <is>
          <t>-6.2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37.9</v>
      </c>
      <c r="D16" s="4" t="n">
        <v>4.7</v>
      </c>
      <c r="E16" s="5" t="inlineStr">
        <is>
          <t>-1.6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30.5</v>
      </c>
      <c r="D17" s="4" t="n">
        <v>3.8</v>
      </c>
      <c r="E17" s="5" t="inlineStr">
        <is>
          <t>-2.0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26.7</v>
      </c>
      <c r="D18" s="4" t="n">
        <v>3.3</v>
      </c>
      <c r="E18" s="6" t="inlineStr">
        <is>
          <t>+0.5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4</v>
      </c>
      <c r="D19" s="4" t="n">
        <v>0.5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509.1</v>
      </c>
      <c r="D20" s="7" t="n">
        <v>63.6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310.1</v>
      </c>
      <c r="D21" s="7" t="n">
        <v>38.8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251.2</v>
      </c>
      <c r="D22" s="7" t="n">
        <v>31.4</v>
      </c>
      <c r="E22" s="7" t="n"/>
    </row>
    <row r="23">
      <c r="A23" s="8" t="inlineStr">
        <is>
          <t>TOTAL</t>
        </is>
      </c>
      <c r="B23" s="8" t="n"/>
      <c r="C23" s="8" t="n">
        <v>1074.4</v>
      </c>
      <c r="D23" s="8" t="n">
        <v>134.3</v>
      </c>
      <c r="E23" s="8" t="inlineStr">
        <is>
          <t>-145.9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134.3 t/j (2685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08/08/2026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15</v>
      </c>
      <c r="D5" s="4" t="n">
        <v>14</v>
      </c>
      <c r="E5" s="4" t="n">
        <v>1</v>
      </c>
      <c r="F5" s="4" t="inlineStr">
        <is>
          <t>2.9:1</t>
        </is>
      </c>
      <c r="G5" s="11" t="inlineStr">
        <is>
          <t>-5 cmdes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12</v>
      </c>
      <c r="D6" s="4" t="n">
        <v>10</v>
      </c>
      <c r="E6" s="4" t="n">
        <v>2</v>
      </c>
      <c r="F6" s="4" t="inlineStr">
        <is>
          <t>2.6:1</t>
        </is>
      </c>
      <c r="G6" s="12" t="inlineStr">
        <is>
          <t>+4 cmdes</t>
        </is>
      </c>
    </row>
    <row r="7">
      <c r="A7" s="4" t="inlineStr">
        <is>
          <t>Mbouda</t>
        </is>
      </c>
      <c r="B7" s="4" t="inlineStr">
        <is>
          <t>Ouest</t>
        </is>
      </c>
      <c r="C7" s="4" t="n">
        <v>7</v>
      </c>
      <c r="D7" s="4" t="n">
        <v>6</v>
      </c>
      <c r="E7" s="4" t="n">
        <v>1</v>
      </c>
      <c r="F7" s="4" t="inlineStr">
        <is>
          <t>2.2:1</t>
        </is>
      </c>
      <c r="G7" s="11" t="inlineStr">
        <is>
          <t>-3 cmdes</t>
        </is>
      </c>
    </row>
    <row r="8">
      <c r="A8" s="4" t="inlineStr">
        <is>
          <t>Ngaoundere</t>
        </is>
      </c>
      <c r="B8" s="4" t="inlineStr">
        <is>
          <t>Centre</t>
        </is>
      </c>
      <c r="C8" s="4" t="n">
        <v>6</v>
      </c>
      <c r="D8" s="4" t="n">
        <v>5</v>
      </c>
      <c r="E8" s="4" t="n">
        <v>1</v>
      </c>
      <c r="F8" s="4" t="inlineStr">
        <is>
          <t>2.4:1</t>
        </is>
      </c>
      <c r="G8" s="11" t="inlineStr">
        <is>
          <t>-4 cmdes</t>
        </is>
      </c>
    </row>
    <row r="9">
      <c r="A9" s="4" t="inlineStr">
        <is>
          <t>Village</t>
        </is>
      </c>
      <c r="B9" s="4" t="inlineStr">
        <is>
          <t>Littoral</t>
        </is>
      </c>
      <c r="C9" s="4" t="n">
        <v>5</v>
      </c>
      <c r="D9" s="4" t="n">
        <v>2</v>
      </c>
      <c r="E9" s="4" t="n">
        <v>3</v>
      </c>
      <c r="F9" s="4" t="inlineStr">
        <is>
          <t>2.5:1</t>
        </is>
      </c>
      <c r="G9" s="11" t="inlineStr">
        <is>
          <t>-4 cmdes</t>
        </is>
      </c>
    </row>
    <row r="10">
      <c r="A10" s="4" t="inlineStr">
        <is>
          <t>Bertoua</t>
        </is>
      </c>
      <c r="B10" s="4" t="inlineStr">
        <is>
          <t>Centre</t>
        </is>
      </c>
      <c r="C10" s="4" t="n">
        <v>5</v>
      </c>
      <c r="D10" s="4" t="n">
        <v>5</v>
      </c>
      <c r="E10" s="4" t="n">
        <v>0</v>
      </c>
      <c r="F10" s="4" t="inlineStr">
        <is>
          <t>1.5:1</t>
        </is>
      </c>
      <c r="G10" s="11" t="inlineStr">
        <is>
          <t>-2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4</v>
      </c>
      <c r="D11" s="4" t="n">
        <v>4</v>
      </c>
      <c r="E11" s="4" t="n">
        <v>0</v>
      </c>
      <c r="F11" s="4" t="inlineStr">
        <is>
          <t>0.9:1</t>
        </is>
      </c>
      <c r="G11" s="11" t="inlineStr">
        <is>
          <t>-2 cmdes</t>
        </is>
      </c>
    </row>
    <row r="12">
      <c r="A12" s="4" t="inlineStr">
        <is>
          <t>Messassi</t>
        </is>
      </c>
      <c r="B12" s="4" t="inlineStr">
        <is>
          <t>Centre</t>
        </is>
      </c>
      <c r="C12" s="4" t="n">
        <v>3</v>
      </c>
      <c r="D12" s="4" t="n">
        <v>3</v>
      </c>
      <c r="E12" s="4" t="n">
        <v>0</v>
      </c>
      <c r="F12" s="4" t="inlineStr">
        <is>
          <t>2.0:1</t>
        </is>
      </c>
      <c r="G12" s="11" t="inlineStr">
        <is>
          <t>-13 cmdes</t>
        </is>
      </c>
    </row>
    <row r="13">
      <c r="A13" s="4" t="inlineStr">
        <is>
          <t>Ahala</t>
        </is>
      </c>
      <c r="B13" s="4" t="inlineStr">
        <is>
          <t>Centre</t>
        </is>
      </c>
      <c r="C13" s="4" t="n">
        <v>2</v>
      </c>
      <c r="D13" s="4" t="n">
        <v>2</v>
      </c>
      <c r="E13" s="4" t="n">
        <v>0</v>
      </c>
      <c r="F13" s="4" t="inlineStr">
        <is>
          <t>2.2:1</t>
        </is>
      </c>
      <c r="G13" s="12" t="inlineStr">
        <is>
          <t>+1 cmdes</t>
        </is>
      </c>
    </row>
    <row r="14">
      <c r="A14" s="4" t="inlineStr">
        <is>
          <t>Pk11</t>
        </is>
      </c>
      <c r="B14" s="4" t="inlineStr">
        <is>
          <t>Littoral</t>
        </is>
      </c>
      <c r="C14" s="4" t="n">
        <v>1</v>
      </c>
      <c r="D14" s="4" t="n">
        <v>1</v>
      </c>
      <c r="E14" s="4" t="n">
        <v>0</v>
      </c>
      <c r="F14" s="4" t="inlineStr">
        <is>
          <t>1.8:1</t>
        </is>
      </c>
      <c r="G14" s="11" t="inlineStr">
        <is>
          <t>-5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1</v>
      </c>
      <c r="D15" s="4" t="n">
        <v>1</v>
      </c>
      <c r="E15" s="4" t="n">
        <v>0</v>
      </c>
      <c r="F15" s="4" t="inlineStr">
        <is>
          <t>8.1:1</t>
        </is>
      </c>
      <c r="G15" s="11" t="inlineStr">
        <is>
          <t>-5 cmdes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1</v>
      </c>
      <c r="D16" s="4" t="n">
        <v>1</v>
      </c>
      <c r="E16" s="4" t="n">
        <v>0</v>
      </c>
      <c r="F16" s="4" t="inlineStr">
        <is>
          <t>2.0:1</t>
        </is>
      </c>
      <c r="G16" s="11" t="inlineStr">
        <is>
          <t>-4 cmdes</t>
        </is>
      </c>
    </row>
    <row r="17">
      <c r="A17" s="8" t="inlineStr">
        <is>
          <t>TOTAL</t>
        </is>
      </c>
      <c r="B17" s="8" t="n"/>
      <c r="C17" s="8" t="n">
        <v>62</v>
      </c>
      <c r="D17" s="8" t="n">
        <v>54</v>
      </c>
      <c r="E17" s="8" t="n">
        <v>8</v>
      </c>
      <c r="F17" s="8" t="inlineStr">
        <is>
          <t>2.4:1</t>
        </is>
      </c>
      <c r="G17" s="8" t="inlineStr">
        <is>
          <t>-57 cmdes vs 119</t>
        </is>
      </c>
    </row>
    <row r="19">
      <c r="A19" s="13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42</v>
      </c>
      <c r="C21" s="4" t="inlineStr">
        <is>
          <t>78%</t>
        </is>
      </c>
    </row>
    <row r="22">
      <c r="A22" s="4" t="inlineStr">
        <is>
          <t>3-5:1</t>
        </is>
      </c>
      <c r="B22" s="4" t="n">
        <v>10</v>
      </c>
      <c r="C22" s="4" t="inlineStr">
        <is>
          <t>19%</t>
        </is>
      </c>
    </row>
    <row r="23">
      <c r="A23" s="4" t="inlineStr">
        <is>
          <t>5-10:1</t>
        </is>
      </c>
      <c r="B23" s="4" t="n">
        <v>2</v>
      </c>
      <c r="C23" s="4" t="inlineStr">
        <is>
          <t>4%</t>
        </is>
      </c>
    </row>
    <row r="24">
      <c r="A24" s="4" t="inlineStr">
        <is>
          <t>10-20:1</t>
        </is>
      </c>
      <c r="B24" s="4" t="n">
        <v>0</v>
      </c>
      <c r="C24" s="4" t="inlineStr">
        <is>
          <t>0%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Le prix du soja a augmente de +2 000 XAF/sac le 23/07/2026 (effet plein visible a partir de ce jour).</t>
        </is>
      </c>
    </row>
    <row r="29">
      <c r="A29" s="10" t="inlineStr">
        <is>
          <t>Ratio global: 2.4:1 (vs 2.6:1 le 31/07).</t>
        </is>
      </c>
    </row>
    <row r="31">
      <c r="A31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08/08/2026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SO2608-128420</t>
        </is>
      </c>
      <c r="C5" s="4" t="inlineStr">
        <is>
          <t>CU2406-00004 -  CLIENT COMPTOIR AXE LOURD</t>
        </is>
      </c>
      <c r="D5" s="4" t="inlineStr">
        <is>
          <t>Village</t>
        </is>
      </c>
      <c r="E5" s="4" t="inlineStr">
        <is>
          <t>Littoral</t>
        </is>
      </c>
      <c r="F5" s="4" t="n">
        <v>0.15</v>
      </c>
      <c r="G5" s="4" t="n">
        <v>3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SO2608-128293</t>
        </is>
      </c>
      <c r="C6" s="4" t="inlineStr">
        <is>
          <t>CU2407-00147 -  CLIENTS COMPTOIR NGAOUNDERE</t>
        </is>
      </c>
      <c r="D6" s="4" t="inlineStr">
        <is>
          <t>Ngaoundere</t>
        </is>
      </c>
      <c r="E6" s="4" t="inlineStr">
        <is>
          <t>Centre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SO2608-128299</t>
        </is>
      </c>
      <c r="C7" s="4" t="inlineStr">
        <is>
          <t>CU2407-00140 -  CLIENTS COMPTOIR BAF-DJELENG</t>
        </is>
      </c>
      <c r="D7" s="4" t="inlineStr">
        <is>
          <t>Djeleng</t>
        </is>
      </c>
      <c r="E7" s="4" t="inlineStr">
        <is>
          <t>Ouest</t>
        </is>
      </c>
      <c r="F7" s="4" t="n">
        <v>0.1</v>
      </c>
      <c r="G7" s="4" t="n">
        <v>2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SO2608-128315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SO2608-128371</t>
        </is>
      </c>
      <c r="C9" s="4" t="inlineStr">
        <is>
          <t>CU2407-00140 -  CLIENTS COMPTOIR BAF-DJELENG</t>
        </is>
      </c>
      <c r="D9" s="4" t="inlineStr">
        <is>
          <t>Djeleng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SO2608-128337</t>
        </is>
      </c>
      <c r="C10" s="4" t="inlineStr">
        <is>
          <t>CU2508-13748 -  MBAMBAPRI BENADETTE</t>
        </is>
      </c>
      <c r="D10" s="4" t="inlineStr">
        <is>
          <t>Mbouda</t>
        </is>
      </c>
      <c r="E10" s="4" t="inlineStr">
        <is>
          <t>Ouest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SO2608-128368</t>
        </is>
      </c>
      <c r="C11" s="4" t="inlineStr">
        <is>
          <t>CU2406-00004 -  CLIENT COMPTOIR AXE LOURD</t>
        </is>
      </c>
      <c r="D11" s="4" t="inlineStr">
        <is>
          <t>Village</t>
        </is>
      </c>
      <c r="E11" s="4" t="inlineStr">
        <is>
          <t>Littoral</t>
        </is>
      </c>
      <c r="F11" s="4" t="n">
        <v>0.05</v>
      </c>
      <c r="G11" s="4" t="n">
        <v>1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SO2608-128387</t>
        </is>
      </c>
      <c r="C12" s="4" t="inlineStr">
        <is>
          <t>CU2407-00741 -  LONTSI OSCAR</t>
        </is>
      </c>
      <c r="D12" s="4" t="inlineStr">
        <is>
          <t>Famla</t>
        </is>
      </c>
      <c r="E12" s="4" t="inlineStr">
        <is>
          <t>Ouest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8" t="n"/>
      <c r="B13" s="8" t="n"/>
      <c r="C13" s="8" t="inlineStr">
        <is>
          <t>TOTAL</t>
        </is>
      </c>
      <c r="D13" s="8" t="n"/>
      <c r="E13" s="8" t="n"/>
      <c r="F13" s="8" t="n">
        <v>0.7</v>
      </c>
      <c r="G13" s="8" t="n">
        <v>13</v>
      </c>
      <c r="H13" s="8" t="n"/>
      <c r="I13" s="8" t="n"/>
    </row>
    <row r="15">
      <c r="A15" s="10" t="inlineStr">
        <is>
          <t>Total soja-only: 8 cmdes (0.7 t) le 08/08/2026</t>
        </is>
      </c>
    </row>
    <row r="16">
      <c r="A16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corrigée avec production concentrés)</t>
        </is>
      </c>
    </row>
    <row r="2">
      <c r="A2" s="2" t="inlineStr">
        <is>
          <t>Stock physique au 08/08/2026 (magasins BEKOKO). Exclusion 9 200 sacs alloués SPC. Mise à jour 10/08/2026.</t>
        </is>
      </c>
    </row>
    <row r="4">
      <c r="A4" s="13" t="inlineStr">
        <is>
          <t>1. STOCK PHYSIQUE AU 08/08/2026 (magasins centraux BEKOKO)</t>
        </is>
      </c>
    </row>
    <row r="5">
      <c r="A5" s="18" t="inlineStr">
        <is>
          <t>Format</t>
        </is>
      </c>
      <c r="B5" s="18" t="inlineStr">
        <is>
          <t>Nb sacs</t>
        </is>
      </c>
      <c r="C5" s="18" t="inlineStr">
        <is>
          <t>Poids (t)</t>
        </is>
      </c>
      <c r="D5" s="18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9" t="inlineStr">
        <is>
          <t>STOCK BRUT TOTAL</t>
        </is>
      </c>
      <c r="B10" s="19" t="n">
        <v>82634</v>
      </c>
      <c r="C10" s="19" t="n">
        <v>4021.5</v>
      </c>
      <c r="D10" s="19" t="n">
        <v>80430</v>
      </c>
    </row>
    <row r="11">
      <c r="A11" s="20" t="inlineStr">
        <is>
          <t>Moins: allocation SPC (entité soeur)</t>
        </is>
      </c>
      <c r="B11" s="20" t="n">
        <v>9200</v>
      </c>
      <c r="C11" s="20" t="n">
        <v>460</v>
      </c>
      <c r="D11" s="20" t="n">
        <v>9200</v>
      </c>
    </row>
    <row r="12">
      <c r="A12" s="21" t="inlineStr">
        <is>
          <t>STOCK NET DISPONIBLE BELGOCAM</t>
        </is>
      </c>
      <c r="B12" s="22">
        <f>73434 (sacs réels)</f>
        <v/>
      </c>
      <c r="C12" s="22" t="n">
        <v>3561.5</v>
      </c>
      <c r="D12" s="22" t="n">
        <v>71230</v>
      </c>
    </row>
    <row r="14">
      <c r="A14" s="13" t="inlineStr">
        <is>
          <t>2. CONSOMMATION SOJA (vente directe + production concentrés)</t>
        </is>
      </c>
    </row>
    <row r="15">
      <c r="A15" s="18" t="inlineStr">
        <is>
          <t>Flux</t>
        </is>
      </c>
      <c r="B15" s="18" t="inlineStr">
        <is>
          <t>Sacs/sem (lun-sam)</t>
        </is>
      </c>
      <c r="C15" s="18" t="inlineStr">
        <is>
          <t>Sacs/jour</t>
        </is>
      </c>
      <c r="D15" s="18" t="inlineStr">
        <is>
          <t>t/sem</t>
        </is>
      </c>
      <c r="E15" s="18" t="inlineStr">
        <is>
          <t>Source</t>
        </is>
      </c>
    </row>
    <row r="16">
      <c r="A16" s="4" t="inlineStr">
        <is>
          <t>Vente directe soja</t>
        </is>
      </c>
      <c r="B16" s="4" t="n">
        <v>16115</v>
      </c>
      <c r="C16" s="4" t="n">
        <v>2686</v>
      </c>
      <c r="D16" s="4" t="n">
        <v>806</v>
      </c>
      <c r="E16" s="4" t="inlineStr">
        <is>
          <t>Ventes août 8j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9" t="inlineStr">
        <is>
          <t>TOTAL MIN (vente + prod min)</t>
        </is>
      </c>
      <c r="B20" s="19" t="n">
        <v>20615</v>
      </c>
      <c r="C20" s="19" t="n">
        <v>3436</v>
      </c>
      <c r="D20" s="19" t="n">
        <v>1031</v>
      </c>
      <c r="E20" s="23" t="n"/>
    </row>
    <row r="21">
      <c r="A21" s="19" t="inlineStr">
        <is>
          <t>TOTAL MOY (vente + prod moy)</t>
        </is>
      </c>
      <c r="B21" s="19" t="n">
        <v>21015</v>
      </c>
      <c r="C21" s="19" t="n">
        <v>3503</v>
      </c>
      <c r="D21" s="19" t="n">
        <v>1051</v>
      </c>
      <c r="E21" s="23" t="n"/>
    </row>
    <row r="22">
      <c r="A22" s="19" t="inlineStr">
        <is>
          <t>TOTAL MAX (vente + prod max)</t>
        </is>
      </c>
      <c r="B22" s="19" t="n">
        <v>21415</v>
      </c>
      <c r="C22" s="19" t="n">
        <v>3569</v>
      </c>
      <c r="D22" s="19" t="n">
        <v>1071</v>
      </c>
      <c r="E22" s="23" t="n"/>
    </row>
    <row r="24">
      <c r="A24" s="13" t="inlineStr">
        <is>
          <t>3. DATE DE RUPTURE PROBABLE (stock net disponible BELGOCAM)</t>
        </is>
      </c>
    </row>
    <row r="25">
      <c r="A25" s="18" t="inlineStr">
        <is>
          <t>Scénario</t>
        </is>
      </c>
      <c r="B25" s="18" t="inlineStr">
        <is>
          <t>Stock net (sacs éq. 50kg)</t>
        </is>
      </c>
      <c r="C25" s="18" t="inlineStr">
        <is>
          <t>Conso (sacs/sem)</t>
        </is>
      </c>
      <c r="D25" s="18" t="inlineStr">
        <is>
          <t>Jours restants</t>
        </is>
      </c>
      <c r="E25" s="18" t="inlineStr">
        <is>
          <t>Semaines</t>
        </is>
      </c>
      <c r="F25" s="18" t="inlineStr">
        <is>
          <t>Date rupture</t>
        </is>
      </c>
    </row>
    <row r="26">
      <c r="A26" s="4" t="inlineStr">
        <is>
          <t>Min (conso min)</t>
        </is>
      </c>
      <c r="B26" s="4" t="n">
        <v>71230</v>
      </c>
      <c r="C26" s="4" t="n">
        <v>20615</v>
      </c>
      <c r="D26" s="4" t="n">
        <v>24</v>
      </c>
      <c r="E26" s="4" t="n">
        <v>3.5</v>
      </c>
      <c r="F26" s="24" t="inlineStr">
        <is>
          <t>03/09/2026</t>
        </is>
      </c>
    </row>
    <row r="27">
      <c r="A27" s="4" t="inlineStr">
        <is>
          <t>Moyen (conso moy)</t>
        </is>
      </c>
      <c r="B27" s="4" t="n">
        <v>71230</v>
      </c>
      <c r="C27" s="4" t="n">
        <v>21015</v>
      </c>
      <c r="D27" s="4" t="n">
        <v>24</v>
      </c>
      <c r="E27" s="4" t="n">
        <v>3.4</v>
      </c>
      <c r="F27" s="24" t="inlineStr">
        <is>
          <t>02/09/2026</t>
        </is>
      </c>
    </row>
    <row r="28">
      <c r="A28" s="4" t="inlineStr">
        <is>
          <t>Max (conso max)</t>
        </is>
      </c>
      <c r="B28" s="4" t="n">
        <v>71230</v>
      </c>
      <c r="C28" s="4" t="n">
        <v>21415</v>
      </c>
      <c r="D28" s="4" t="n">
        <v>23</v>
      </c>
      <c r="E28" s="4" t="n">
        <v>3.3</v>
      </c>
      <c r="F28" s="24" t="inlineStr">
        <is>
          <t>02/09/2026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15" t="inlineStr">
        <is>
          <t>Date de rupture probable: 02/09/2026 (23 jours, 3.4 semaines).</t>
        </is>
      </c>
    </row>
    <row r="32">
      <c r="A32" s="15" t="inlineStr">
        <is>
          <t>URGENCE: réapprovisionnement à prévoir avant le 23/08/2026 (10 jours de marge).</t>
        </is>
      </c>
    </row>
    <row r="33">
      <c r="A33" s="14" t="inlineStr">
        <is>
          <t>Méthode: stock net = brut - 9 200 sacs SPC. Consommation = vente directe + production concentrés (4 500-5 300 sacs/sem).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149.3</v>
      </c>
      <c r="E5" s="4" t="n">
        <v>53.8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282.1</v>
      </c>
      <c r="E7" s="4" t="n">
        <v>102.1</v>
      </c>
      <c r="F7" s="4" t="inlineStr">
        <is>
          <t>2.76:1</t>
        </is>
      </c>
      <c r="G7" t="n">
        <v>2.76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146.3</v>
      </c>
      <c r="E8" s="4" t="n">
        <v>59</v>
      </c>
      <c r="F8" s="4" t="inlineStr">
        <is>
          <t>2.48:1</t>
        </is>
      </c>
      <c r="G8" t="n">
        <v>2.48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166.2</v>
      </c>
      <c r="E9" s="4" t="n">
        <v>61.6</v>
      </c>
      <c r="F9" s="4" t="inlineStr">
        <is>
          <t>2.7:1</t>
        </is>
      </c>
      <c r="G9" t="n">
        <v>2.7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117.6</v>
      </c>
      <c r="E10" s="4" t="n">
        <v>52.8</v>
      </c>
      <c r="F10" s="4" t="inlineStr">
        <is>
          <t>2.23:1</t>
        </is>
      </c>
      <c r="G10" t="n">
        <v>2.23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137.6</v>
      </c>
      <c r="E11" s="4" t="n">
        <v>51.9</v>
      </c>
      <c r="F11" s="4" t="inlineStr">
        <is>
          <t>2.65:1</t>
        </is>
      </c>
      <c r="G11" t="n">
        <v>2.65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75.2</v>
      </c>
      <c r="E12" s="4" t="n">
        <v>31.7</v>
      </c>
      <c r="F12" s="4" t="inlineStr">
        <is>
          <t>2.37:1</t>
        </is>
      </c>
      <c r="G12" t="n">
        <v>2.37</v>
      </c>
    </row>
    <row r="13">
      <c r="A13" s="16" t="inlineStr">
        <is>
          <t>09/08/2026</t>
        </is>
      </c>
      <c r="B13" s="16" t="n">
        <v>9</v>
      </c>
      <c r="C13" s="16" t="inlineStr">
        <is>
          <t>Dim</t>
        </is>
      </c>
      <c r="D13" s="16" t="n">
        <v>0</v>
      </c>
      <c r="E13" s="16" t="n">
        <v>0</v>
      </c>
      <c r="F13" s="16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0</v>
      </c>
      <c r="E14" s="4" t="n">
        <v>0</v>
      </c>
      <c r="F14" s="4" t="inlineStr">
        <is>
          <t>—</t>
        </is>
      </c>
    </row>
    <row r="18">
      <c r="A18" s="13" t="inlineStr">
        <is>
          <t>NOTES DE LECTURE:</t>
        </is>
      </c>
    </row>
    <row r="19">
      <c r="A19" s="17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7" t="inlineStr">
        <is>
          <t>• La ligne "Concentrés" (or) montre la consommation journalière de concentrés (BELGO Chair/Ponte/Porc).</t>
        </is>
      </c>
    </row>
    <row r="21">
      <c r="A21" s="17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7" t="inlineStr">
        <is>
          <t>• Les dimanches sont grisés (pas de ventes). Le 23/07 est surligné en rouge (date de la 2e hausse tarifaire +2 000 FCFA/sac).</t>
        </is>
      </c>
    </row>
    <row r="23">
      <c r="A23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2026-08-10T07:25:30Z</dcterms:created>
  <dcterms:modified xmlns:dcterms="http://purl.org/dc/terms/" xmlns:xsi="http://www.w3.org/2001/XMLSchema-instance" xsi:type="dcterms:W3CDTF">2026-08-10T07:27:59Z</dcterms:modified>
</cp:coreProperties>
</file>