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- Moy jour soja par agence" sheetId="1" state="visible" r:id="rId1"/>
    <sheet xmlns:r="http://schemas.openxmlformats.org/officeDocument/2006/relationships" name="T2 - Commandes soja 15-08" sheetId="2" state="visible" r:id="rId2"/>
    <sheet xmlns:r="http://schemas.openxmlformats.org/officeDocument/2006/relationships" name="T3 - Soja-only 15-08" sheetId="3" state="visible" r:id="rId3"/>
    <sheet xmlns:r="http://schemas.openxmlformats.org/officeDocument/2006/relationships" name="T4 - Stock soja et rupture" sheetId="4" state="visible" r:id="rId4"/>
    <sheet xmlns:r="http://schemas.openxmlformats.org/officeDocument/2006/relationships" name="T5 - Tendance Aoû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color rgb="009C0006"/>
      <sz val="10"/>
    </font>
    <font>
      <i val="1"/>
      <color rgb="00375623"/>
      <sz val="10"/>
    </font>
    <font>
      <b val="1"/>
      <color rgb="001F4E78"/>
      <sz val="11"/>
    </font>
    <font>
      <b val="1"/>
      <color rgb="00008000"/>
      <sz val="10"/>
    </font>
    <font>
      <b val="1"/>
      <sz val="11"/>
    </font>
    <font>
      <i val="1"/>
      <color rgb="00C00000"/>
      <sz val="10"/>
    </font>
    <font>
      <b val="1"/>
      <sz val="10"/>
    </font>
    <font>
      <color rgb="00008000"/>
      <sz val="10"/>
    </font>
    <font>
      <color rgb="00C00000"/>
      <sz val="10"/>
    </font>
    <font>
      <i val="1"/>
      <color rgb="00595959"/>
      <sz val="9"/>
    </font>
    <font>
      <b val="1"/>
    </font>
    <font>
      <color rgb="00C00000"/>
    </font>
    <font>
      <b val="1"/>
      <color rgb="00C00000"/>
      <sz val="11"/>
    </font>
    <font>
      <i val="1"/>
      <color rgb="00808080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6" fillId="0" borderId="0" pivotButton="0" quotePrefix="0" xfId="0"/>
    <xf numFmtId="0" fontId="13" fillId="0" borderId="0" pivotButton="0" quotePrefix="0" xfId="0"/>
    <xf numFmtId="0" fontId="3" fillId="2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15" fillId="0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14" fillId="6" borderId="1" pivotButton="0" quotePrefix="0" xfId="0"/>
    <xf numFmtId="0" fontId="16" fillId="0" borderId="1" pivotButton="0" quotePrefix="0" xfId="0"/>
    <xf numFmtId="0" fontId="16" fillId="0" borderId="0" pivotButton="0" quotePrefix="0" xfId="0"/>
    <xf numFmtId="0" fontId="17" fillId="7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Tendance journalière — Soja vs Concentrés (Août 2026)</a:t>
            </a:r>
          </a:p>
        </rich>
      </tx>
    </title>
    <plotArea>
      <lineChart>
        <grouping val="standard"/>
        <ser>
          <idx val="0"/>
          <order val="0"/>
          <tx>
            <strRef>
              <f>'T5 - Tendance Août'!D4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'T5 - Tendance Août'!$A$5:$A$19</f>
            </numRef>
          </cat>
          <val>
            <numRef>
              <f>'T5 - Tendance Août'!$D$5:$D$19</f>
            </numRef>
          </val>
        </ser>
        <ser>
          <idx val="1"/>
          <order val="1"/>
          <tx>
            <strRef>
              <f>'T5 - Tendance Août'!E4</f>
            </strRef>
          </tx>
          <spPr>
            <a:solidFill xmlns:a="http://schemas.openxmlformats.org/drawingml/2006/main">
              <a:srgbClr val="C9A961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'T5 - Tendance Août'!$A$5:$A$19</f>
            </numRef>
          </cat>
          <val>
            <numRef>
              <f>'T5 - Tendance Août'!$E$5:$E$19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soja:concentrés par jour (objectif 3:1)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'T5 - Tendance Août'!G4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'T5 - Tendance Août'!$A$5:$A$19</f>
            </numRef>
          </cat>
          <val>
            <numRef>
              <f>'T5 - Tendance Août'!$G$5:$G$19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(soja:conc)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29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  <col width="24" customWidth="1" min="5" max="5"/>
  </cols>
  <sheetData>
    <row r="1">
      <c r="A1" s="1" t="inlineStr">
        <is>
          <t>TABLEAU 1 - Moyenne journaliere SOJA août par agence/region</t>
        </is>
      </c>
    </row>
    <row r="2">
      <c r="A2" s="2" t="inlineStr">
        <is>
          <t>01/08 au 15/08/2026 (13j). Livree. lun-sam. Mise a jour 16/08/2026.</t>
        </is>
      </c>
    </row>
    <row r="4">
      <c r="A4" s="3" t="inlineStr">
        <is>
          <t>Agence</t>
        </is>
      </c>
      <c r="B4" s="3" t="inlineStr">
        <is>
          <t>Region</t>
        </is>
      </c>
      <c r="C4" s="3" t="inlineStr">
        <is>
          <t>Total soja (t)</t>
        </is>
      </c>
      <c r="D4" s="3" t="inlineStr">
        <is>
          <t>Moy/jour (t)</t>
        </is>
      </c>
      <c r="E4" s="3" t="inlineStr">
        <is>
          <t>Evolution vs 31/07</t>
        </is>
      </c>
    </row>
    <row r="5">
      <c r="A5" s="4" t="inlineStr">
        <is>
          <t>Famla</t>
        </is>
      </c>
      <c r="B5" s="4" t="inlineStr">
        <is>
          <t>Ouest</t>
        </is>
      </c>
      <c r="C5" s="4" t="n">
        <v>431.6</v>
      </c>
      <c r="D5" s="4" t="n">
        <v>33.2</v>
      </c>
      <c r="E5" s="5" t="inlineStr">
        <is>
          <t>-40.3 t/j</t>
        </is>
      </c>
    </row>
    <row r="6">
      <c r="A6" s="4" t="inlineStr">
        <is>
          <t>Messassi</t>
        </is>
      </c>
      <c r="B6" s="4" t="inlineStr">
        <is>
          <t>Centre</t>
        </is>
      </c>
      <c r="C6" s="4" t="n">
        <v>258.6</v>
      </c>
      <c r="D6" s="4" t="n">
        <v>19.9</v>
      </c>
      <c r="E6" s="5" t="inlineStr">
        <is>
          <t>-2.7 t/j</t>
        </is>
      </c>
    </row>
    <row r="7">
      <c r="A7" s="4" t="inlineStr">
        <is>
          <t>Djeleng</t>
        </is>
      </c>
      <c r="B7" s="4" t="inlineStr">
        <is>
          <t>Ouest</t>
        </is>
      </c>
      <c r="C7" s="4" t="n">
        <v>249.8</v>
      </c>
      <c r="D7" s="4" t="n">
        <v>19.2</v>
      </c>
      <c r="E7" s="5" t="inlineStr">
        <is>
          <t>-12.5 t/j</t>
        </is>
      </c>
    </row>
    <row r="8">
      <c r="A8" s="4" t="inlineStr">
        <is>
          <t>Ndobo</t>
        </is>
      </c>
      <c r="B8" s="4" t="inlineStr">
        <is>
          <t>Littoral</t>
        </is>
      </c>
      <c r="C8" s="4" t="n">
        <v>164.4</v>
      </c>
      <c r="D8" s="4" t="n">
        <v>12.6</v>
      </c>
      <c r="E8" s="5" t="inlineStr">
        <is>
          <t>-45.3 t/j</t>
        </is>
      </c>
    </row>
    <row r="9">
      <c r="A9" s="4" t="inlineStr">
        <is>
          <t>Mbouda</t>
        </is>
      </c>
      <c r="B9" s="4" t="inlineStr">
        <is>
          <t>Ouest</t>
        </is>
      </c>
      <c r="C9" s="4" t="n">
        <v>133.4</v>
      </c>
      <c r="D9" s="4" t="n">
        <v>10.3</v>
      </c>
      <c r="E9" s="5" t="inlineStr">
        <is>
          <t>-6.0 t/j</t>
        </is>
      </c>
    </row>
    <row r="10">
      <c r="A10" s="4" t="inlineStr">
        <is>
          <t>Ahala</t>
        </is>
      </c>
      <c r="B10" s="4" t="inlineStr">
        <is>
          <t>Centre</t>
        </is>
      </c>
      <c r="C10" s="4" t="n">
        <v>124.8</v>
      </c>
      <c r="D10" s="4" t="n">
        <v>9.6</v>
      </c>
      <c r="E10" s="5" t="inlineStr">
        <is>
          <t>-4.2 t/j</t>
        </is>
      </c>
    </row>
    <row r="11">
      <c r="A11" s="4" t="inlineStr">
        <is>
          <t>Bertoua</t>
        </is>
      </c>
      <c r="B11" s="4" t="inlineStr">
        <is>
          <t>Centre</t>
        </is>
      </c>
      <c r="C11" s="4" t="n">
        <v>106</v>
      </c>
      <c r="D11" s="4" t="n">
        <v>8.199999999999999</v>
      </c>
      <c r="E11" s="5" t="inlineStr">
        <is>
          <t>-3.1 t/j</t>
        </is>
      </c>
    </row>
    <row r="12">
      <c r="A12" s="4" t="inlineStr">
        <is>
          <t>Pk11</t>
        </is>
      </c>
      <c r="B12" s="4" t="inlineStr">
        <is>
          <t>Littoral</t>
        </is>
      </c>
      <c r="C12" s="4" t="n">
        <v>98</v>
      </c>
      <c r="D12" s="4" t="n">
        <v>7.5</v>
      </c>
      <c r="E12" s="5" t="inlineStr">
        <is>
          <t>-4.6 t/j</t>
        </is>
      </c>
    </row>
    <row r="13">
      <c r="A13" s="4" t="inlineStr">
        <is>
          <t>Village</t>
        </is>
      </c>
      <c r="B13" s="4" t="inlineStr">
        <is>
          <t>Littoral</t>
        </is>
      </c>
      <c r="C13" s="4" t="n">
        <v>90.8</v>
      </c>
      <c r="D13" s="4" t="n">
        <v>7</v>
      </c>
      <c r="E13" s="5" t="inlineStr">
        <is>
          <t>-4.0 t/j</t>
        </is>
      </c>
    </row>
    <row r="14">
      <c r="A14" s="4" t="inlineStr">
        <is>
          <t>Nkongsamba</t>
        </is>
      </c>
      <c r="B14" s="4" t="inlineStr">
        <is>
          <t>Littoral</t>
        </is>
      </c>
      <c r="C14" s="4" t="n">
        <v>76.2</v>
      </c>
      <c r="D14" s="4" t="n">
        <v>5.9</v>
      </c>
      <c r="E14" s="5" t="inlineStr">
        <is>
          <t>-0.5 t/j</t>
        </is>
      </c>
    </row>
    <row r="15">
      <c r="A15" s="4" t="inlineStr">
        <is>
          <t>Buea</t>
        </is>
      </c>
      <c r="B15" s="4" t="inlineStr">
        <is>
          <t>Littoral</t>
        </is>
      </c>
      <c r="C15" s="4" t="n">
        <v>74.5</v>
      </c>
      <c r="D15" s="4" t="n">
        <v>5.7</v>
      </c>
      <c r="E15" s="5" t="inlineStr">
        <is>
          <t>-0.2 t/j</t>
        </is>
      </c>
    </row>
    <row r="16">
      <c r="A16" s="4" t="inlineStr">
        <is>
          <t>Nkoabang</t>
        </is>
      </c>
      <c r="B16" s="4" t="inlineStr">
        <is>
          <t>Centre</t>
        </is>
      </c>
      <c r="C16" s="4" t="n">
        <v>73.3</v>
      </c>
      <c r="D16" s="4" t="n">
        <v>5.6</v>
      </c>
      <c r="E16" s="5" t="inlineStr">
        <is>
          <t>-3.5 t/j</t>
        </is>
      </c>
    </row>
    <row r="17">
      <c r="A17" s="4" t="inlineStr">
        <is>
          <t>Ngaoundere</t>
        </is>
      </c>
      <c r="B17" s="4" t="inlineStr">
        <is>
          <t>Centre</t>
        </is>
      </c>
      <c r="C17" s="4" t="n">
        <v>51.2</v>
      </c>
      <c r="D17" s="4" t="n">
        <v>3.9</v>
      </c>
      <c r="E17" s="5" t="inlineStr">
        <is>
          <t>-1.9 t/j</t>
        </is>
      </c>
    </row>
    <row r="18">
      <c r="A18" s="4" t="inlineStr">
        <is>
          <t>Nkolbisson</t>
        </is>
      </c>
      <c r="B18" s="4" t="inlineStr">
        <is>
          <t>Centre</t>
        </is>
      </c>
      <c r="C18" s="4" t="n">
        <v>49.2</v>
      </c>
      <c r="D18" s="4" t="n">
        <v>3.8</v>
      </c>
      <c r="E18" s="6" t="inlineStr">
        <is>
          <t>+0.9 t/j</t>
        </is>
      </c>
    </row>
    <row r="19">
      <c r="A19" s="4" t="inlineStr">
        <is>
          <t>AGENCE MAROUA</t>
        </is>
      </c>
      <c r="B19" s="4" t="inlineStr">
        <is>
          <t>?</t>
        </is>
      </c>
      <c r="C19" s="4" t="n">
        <v>14</v>
      </c>
      <c r="D19" s="4" t="n">
        <v>1.1</v>
      </c>
      <c r="E19" s="6" t="inlineStr">
        <is>
          <t>nouveau</t>
        </is>
      </c>
    </row>
    <row r="20">
      <c r="A20" s="7" t="inlineStr">
        <is>
          <t>TOTAL Ouest</t>
        </is>
      </c>
      <c r="B20" s="7" t="inlineStr">
        <is>
          <t>Ouest</t>
        </is>
      </c>
      <c r="C20" s="7" t="n">
        <v>814.8</v>
      </c>
      <c r="D20" s="7" t="n">
        <v>62.7</v>
      </c>
      <c r="E20" s="7" t="n"/>
    </row>
    <row r="21">
      <c r="A21" s="7" t="inlineStr">
        <is>
          <t>TOTAL Centre</t>
        </is>
      </c>
      <c r="B21" s="7" t="inlineStr">
        <is>
          <t>Centre</t>
        </is>
      </c>
      <c r="C21" s="7" t="n">
        <v>663.2</v>
      </c>
      <c r="D21" s="7" t="n">
        <v>51</v>
      </c>
      <c r="E21" s="7" t="n"/>
    </row>
    <row r="22">
      <c r="A22" s="7" t="inlineStr">
        <is>
          <t>TOTAL Littoral</t>
        </is>
      </c>
      <c r="B22" s="7" t="inlineStr">
        <is>
          <t>Littoral</t>
        </is>
      </c>
      <c r="C22" s="7" t="n">
        <v>503.9</v>
      </c>
      <c r="D22" s="7" t="n">
        <v>38.8</v>
      </c>
      <c r="E22" s="7" t="n"/>
    </row>
    <row r="23">
      <c r="A23" s="8" t="inlineStr">
        <is>
          <t>TOTAL</t>
        </is>
      </c>
      <c r="B23" s="8" t="n"/>
      <c r="C23" s="8" t="n">
        <v>1995.9</v>
      </c>
      <c r="D23" s="8" t="n">
        <v>153.5</v>
      </c>
      <c r="E23" s="8" t="inlineStr">
        <is>
          <t>-126.7 t/j vs 280.2</t>
        </is>
      </c>
    </row>
    <row r="25">
      <c r="A25" s="9" t="inlineStr">
        <is>
          <t>NOTE: Le prix du soja a augmente de +2 000 XAF/sac le 23/07/2026.</t>
        </is>
      </c>
    </row>
    <row r="26">
      <c r="A26" s="10" t="inlineStr">
        <is>
          <t>Moyenne/jour globale: 153.5 t/j (3070 sacs) sur 13j.</t>
        </is>
      </c>
    </row>
    <row r="27">
      <c r="A27" s="2" t="inlineStr">
        <is>
          <t>Precedent (31/07): 280.2 t/j (5604 sacs) sur 27j.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TABLEAU 2 - Commandes SOJA le 15/08/2026 par agence</t>
        </is>
      </c>
    </row>
    <row r="2">
      <c r="A2" s="2" t="inlineStr">
        <is>
          <t>Livree. Ratio en sacs 50kg-equivalent. Mise a jour 13/08/2026.</t>
        </is>
      </c>
    </row>
    <row r="4">
      <c r="A4" s="3" t="inlineStr">
        <is>
          <t>Agence</t>
        </is>
      </c>
      <c r="B4" s="3" t="inlineStr">
        <is>
          <t>Region</t>
        </is>
      </c>
      <c r="C4" s="3" t="inlineStr">
        <is>
          <t>Cmds</t>
        </is>
      </c>
      <c r="D4" s="3" t="inlineStr">
        <is>
          <t>Bundle</t>
        </is>
      </c>
      <c r="E4" s="3" t="inlineStr">
        <is>
          <t>Soja-only</t>
        </is>
      </c>
      <c r="F4" s="3" t="inlineStr">
        <is>
          <t>Ratio moy</t>
        </is>
      </c>
      <c r="G4" s="3" t="inlineStr">
        <is>
          <t>Evolution cmdes vs 31/07</t>
        </is>
      </c>
    </row>
    <row r="5">
      <c r="A5" s="4" t="inlineStr">
        <is>
          <t>Messassi</t>
        </is>
      </c>
      <c r="B5" s="4" t="inlineStr">
        <is>
          <t>Centre</t>
        </is>
      </c>
      <c r="C5" s="4" t="n">
        <v>11</v>
      </c>
      <c r="D5" s="4" t="n">
        <v>11</v>
      </c>
      <c r="E5" s="4" t="n">
        <v>0</v>
      </c>
      <c r="F5" s="4" t="inlineStr">
        <is>
          <t>2.9:1</t>
        </is>
      </c>
      <c r="G5" s="11" t="inlineStr">
        <is>
          <t>-5 cmdes</t>
        </is>
      </c>
    </row>
    <row r="6">
      <c r="A6" s="4" t="inlineStr">
        <is>
          <t>Ngaoundere</t>
        </is>
      </c>
      <c r="B6" s="4" t="inlineStr">
        <is>
          <t>Centre</t>
        </is>
      </c>
      <c r="C6" s="4" t="n">
        <v>7</v>
      </c>
      <c r="D6" s="4" t="n">
        <v>5</v>
      </c>
      <c r="E6" s="4" t="n">
        <v>2</v>
      </c>
      <c r="F6" s="4" t="inlineStr">
        <is>
          <t>2.4:1</t>
        </is>
      </c>
      <c r="G6" s="11" t="inlineStr">
        <is>
          <t>-3 cmdes</t>
        </is>
      </c>
    </row>
    <row r="7">
      <c r="A7" s="4" t="inlineStr">
        <is>
          <t>Buea</t>
        </is>
      </c>
      <c r="B7" s="4" t="inlineStr">
        <is>
          <t>Littoral</t>
        </is>
      </c>
      <c r="C7" s="4" t="n">
        <v>7</v>
      </c>
      <c r="D7" s="4" t="n">
        <v>7</v>
      </c>
      <c r="E7" s="4" t="n">
        <v>0</v>
      </c>
      <c r="F7" s="4" t="inlineStr">
        <is>
          <t>2.4:1</t>
        </is>
      </c>
      <c r="G7" s="12" t="inlineStr">
        <is>
          <t>+2 cmdes</t>
        </is>
      </c>
    </row>
    <row r="8">
      <c r="A8" s="4" t="inlineStr">
        <is>
          <t>Nkongsamba</t>
        </is>
      </c>
      <c r="B8" s="4" t="inlineStr">
        <is>
          <t>Littoral</t>
        </is>
      </c>
      <c r="C8" s="4" t="n">
        <v>6</v>
      </c>
      <c r="D8" s="4" t="n">
        <v>3</v>
      </c>
      <c r="E8" s="4" t="n">
        <v>3</v>
      </c>
      <c r="F8" s="4" t="inlineStr">
        <is>
          <t>5.7:1</t>
        </is>
      </c>
      <c r="G8" s="4" t="inlineStr">
        <is>
          <t>stable</t>
        </is>
      </c>
    </row>
    <row r="9">
      <c r="A9" s="4" t="inlineStr">
        <is>
          <t>Bertoua</t>
        </is>
      </c>
      <c r="B9" s="4" t="inlineStr">
        <is>
          <t>Centre</t>
        </is>
      </c>
      <c r="C9" s="4" t="n">
        <v>5</v>
      </c>
      <c r="D9" s="4" t="n">
        <v>5</v>
      </c>
      <c r="E9" s="4" t="n">
        <v>0</v>
      </c>
      <c r="F9" s="4" t="inlineStr">
        <is>
          <t>0.3:1</t>
        </is>
      </c>
      <c r="G9" s="11" t="inlineStr">
        <is>
          <t>-2 cmdes</t>
        </is>
      </c>
    </row>
    <row r="10">
      <c r="A10" s="4" t="inlineStr">
        <is>
          <t>Nkolbisson</t>
        </is>
      </c>
      <c r="B10" s="4" t="inlineStr">
        <is>
          <t>Centre</t>
        </is>
      </c>
      <c r="C10" s="4" t="n">
        <v>4</v>
      </c>
      <c r="D10" s="4" t="n">
        <v>4</v>
      </c>
      <c r="E10" s="4" t="n">
        <v>0</v>
      </c>
      <c r="F10" s="4" t="inlineStr">
        <is>
          <t>2.1:1</t>
        </is>
      </c>
      <c r="G10" s="11" t="inlineStr">
        <is>
          <t>-2 cmdes</t>
        </is>
      </c>
    </row>
    <row r="11">
      <c r="A11" s="4" t="inlineStr">
        <is>
          <t>Famla</t>
        </is>
      </c>
      <c r="B11" s="4" t="inlineStr">
        <is>
          <t>Ouest</t>
        </is>
      </c>
      <c r="C11" s="4" t="n">
        <v>3</v>
      </c>
      <c r="D11" s="4" t="n">
        <v>2</v>
      </c>
      <c r="E11" s="4" t="n">
        <v>1</v>
      </c>
      <c r="F11" s="4" t="inlineStr">
        <is>
          <t>0.5:1</t>
        </is>
      </c>
      <c r="G11" s="11" t="inlineStr">
        <is>
          <t>-17 cmdes</t>
        </is>
      </c>
    </row>
    <row r="12">
      <c r="A12" s="4" t="inlineStr">
        <is>
          <t>Pk11</t>
        </is>
      </c>
      <c r="B12" s="4" t="inlineStr">
        <is>
          <t>Littoral</t>
        </is>
      </c>
      <c r="C12" s="4" t="n">
        <v>3</v>
      </c>
      <c r="D12" s="4" t="n">
        <v>3</v>
      </c>
      <c r="E12" s="4" t="n">
        <v>0</v>
      </c>
      <c r="F12" s="4" t="inlineStr">
        <is>
          <t>2.9:1</t>
        </is>
      </c>
      <c r="G12" s="11" t="inlineStr">
        <is>
          <t>-3 cmdes</t>
        </is>
      </c>
    </row>
    <row r="13">
      <c r="A13" s="4" t="inlineStr">
        <is>
          <t>Ndobo</t>
        </is>
      </c>
      <c r="B13" s="4" t="inlineStr">
        <is>
          <t>Littoral</t>
        </is>
      </c>
      <c r="C13" s="4" t="n">
        <v>1</v>
      </c>
      <c r="D13" s="4" t="n">
        <v>1</v>
      </c>
      <c r="E13" s="4" t="n">
        <v>0</v>
      </c>
      <c r="F13" s="4" t="inlineStr">
        <is>
          <t>0.4:1</t>
        </is>
      </c>
      <c r="G13" s="11" t="inlineStr">
        <is>
          <t>-12 cmdes</t>
        </is>
      </c>
    </row>
    <row r="14">
      <c r="A14" s="4" t="inlineStr">
        <is>
          <t>Mbouda</t>
        </is>
      </c>
      <c r="B14" s="4" t="inlineStr">
        <is>
          <t>Ouest</t>
        </is>
      </c>
      <c r="C14" s="4" t="n">
        <v>1</v>
      </c>
      <c r="D14" s="4" t="n">
        <v>1</v>
      </c>
      <c r="E14" s="4" t="n">
        <v>0</v>
      </c>
      <c r="F14" s="4" t="inlineStr">
        <is>
          <t>2.7:1</t>
        </is>
      </c>
      <c r="G14" s="11" t="inlineStr">
        <is>
          <t>-9 cmdes</t>
        </is>
      </c>
    </row>
    <row r="15">
      <c r="A15" s="4" t="inlineStr">
        <is>
          <t>Village</t>
        </is>
      </c>
      <c r="B15" s="4" t="inlineStr">
        <is>
          <t>Littoral</t>
        </is>
      </c>
      <c r="C15" s="4" t="n">
        <v>1</v>
      </c>
      <c r="D15" s="4" t="n">
        <v>1</v>
      </c>
      <c r="E15" s="4" t="n">
        <v>0</v>
      </c>
      <c r="F15" s="4" t="inlineStr">
        <is>
          <t>1.2:1</t>
        </is>
      </c>
      <c r="G15" s="11" t="inlineStr">
        <is>
          <t>-8 cmdes</t>
        </is>
      </c>
    </row>
    <row r="16">
      <c r="A16" s="8" t="inlineStr">
        <is>
          <t>TOTAL</t>
        </is>
      </c>
      <c r="B16" s="8" t="n"/>
      <c r="C16" s="8" t="n">
        <v>49</v>
      </c>
      <c r="D16" s="8" t="n">
        <v>43</v>
      </c>
      <c r="E16" s="8" t="n">
        <v>6</v>
      </c>
      <c r="F16" s="8" t="inlineStr">
        <is>
          <t>2.4:1</t>
        </is>
      </c>
      <c r="G16" s="8" t="inlineStr">
        <is>
          <t>-70 cmdes vs 119</t>
        </is>
      </c>
    </row>
    <row r="18">
      <c r="A18" s="13" t="inlineStr">
        <is>
          <t>Distribution ratios (bundle seulement)</t>
        </is>
      </c>
    </row>
    <row r="19">
      <c r="A19" s="3" t="inlineStr">
        <is>
          <t>Tranche</t>
        </is>
      </c>
      <c r="B19" s="3" t="inlineStr">
        <is>
          <t>Nb cmdes</t>
        </is>
      </c>
      <c r="C19" s="3" t="inlineStr">
        <is>
          <t>Part</t>
        </is>
      </c>
    </row>
    <row r="20">
      <c r="A20" s="4" t="inlineStr">
        <is>
          <t>&lt;= 3:1</t>
        </is>
      </c>
      <c r="B20" s="4" t="n">
        <v>35</v>
      </c>
      <c r="C20" s="4" t="inlineStr">
        <is>
          <t>81%</t>
        </is>
      </c>
    </row>
    <row r="21">
      <c r="A21" s="4" t="inlineStr">
        <is>
          <t>3-5:1</t>
        </is>
      </c>
      <c r="B21" s="4" t="n">
        <v>6</v>
      </c>
      <c r="C21" s="4" t="inlineStr">
        <is>
          <t>14%</t>
        </is>
      </c>
    </row>
    <row r="22">
      <c r="A22" s="4" t="inlineStr">
        <is>
          <t>5-10:1</t>
        </is>
      </c>
      <c r="B22" s="4" t="n">
        <v>2</v>
      </c>
      <c r="C22" s="4" t="inlineStr">
        <is>
          <t>5%</t>
        </is>
      </c>
    </row>
    <row r="23">
      <c r="A23" s="4" t="inlineStr">
        <is>
          <t>10-20:1</t>
        </is>
      </c>
      <c r="B23" s="4" t="n">
        <v>0</v>
      </c>
      <c r="C23" s="4" t="inlineStr">
        <is>
          <t>0%</t>
        </is>
      </c>
    </row>
    <row r="24">
      <c r="A24" s="4" t="inlineStr">
        <is>
          <t>&gt; 20:1</t>
        </is>
      </c>
      <c r="B24" s="4" t="n">
        <v>0</v>
      </c>
      <c r="C24" s="4" t="inlineStr">
        <is>
          <t>0%</t>
        </is>
      </c>
    </row>
    <row r="27">
      <c r="A27" s="9" t="inlineStr">
        <is>
          <t>NOTE: Le prix du soja a augmente de +2 000 XAF/sac le 23/07/2026 (effet plein visible a partir de ce jour).</t>
        </is>
      </c>
    </row>
    <row r="28">
      <c r="A28" s="10" t="inlineStr">
        <is>
          <t>Ratio global: 2.4:1 (vs 2.6:1 le 31/07).</t>
        </is>
      </c>
    </row>
    <row r="30">
      <c r="A30" s="14" t="inlineStr">
        <is>
          <t>Note: T2/T3 portent sur le 04/08 (dernier jour complet, 62 cmdes soja Livrées). Comparaison vs 31/07 (bilan juillet complet).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6" customWidth="1" min="4" max="4"/>
    <col width="12" customWidth="1" min="5" max="5"/>
    <col width="10" customWidth="1" min="6" max="6"/>
    <col width="8" customWidth="1" min="7" max="7"/>
    <col width="10" customWidth="1" min="8" max="8"/>
    <col width="16" customWidth="1" min="9" max="9"/>
  </cols>
  <sheetData>
    <row r="1">
      <c r="A1" s="1" t="inlineStr">
        <is>
          <t>TABLEAU 3 - SOJA sans concentres le 15/08/2026</t>
        </is>
      </c>
    </row>
    <row r="2">
      <c r="A2" s="2" t="inlineStr">
        <is>
          <t>Livree. Liste detaillee des commandes soja-only.</t>
        </is>
      </c>
    </row>
    <row r="4">
      <c r="A4" s="3" t="inlineStr">
        <is>
          <t>#</t>
        </is>
      </c>
      <c r="B4" s="3" t="inlineStr">
        <is>
          <t>N cmd</t>
        </is>
      </c>
      <c r="C4" s="3" t="inlineStr">
        <is>
          <t>Client</t>
        </is>
      </c>
      <c r="D4" s="3" t="inlineStr">
        <is>
          <t>Agence</t>
        </is>
      </c>
      <c r="E4" s="3" t="inlineStr">
        <is>
          <t>Region</t>
        </is>
      </c>
      <c r="F4" s="3" t="inlineStr">
        <is>
          <t>Soja (t)</t>
        </is>
      </c>
      <c r="G4" s="3" t="inlineStr">
        <is>
          <t>Sacs</t>
        </is>
      </c>
      <c r="H4" s="3" t="inlineStr">
        <is>
          <t>Etat</t>
        </is>
      </c>
      <c r="I4" s="3" t="inlineStr">
        <is>
          <t>Nouveau vs 31/07</t>
        </is>
      </c>
    </row>
    <row r="5">
      <c r="A5" s="4" t="n">
        <v>1</v>
      </c>
      <c r="B5" s="4" t="inlineStr">
        <is>
          <t>SO2608-129579</t>
        </is>
      </c>
      <c r="C5" s="4" t="inlineStr">
        <is>
          <t>CU2408-01052 -  Chedjou André (CHENJOU ANDRE)</t>
        </is>
      </c>
      <c r="D5" s="4" t="inlineStr">
        <is>
          <t>Nkongsamba</t>
        </is>
      </c>
      <c r="E5" s="4" t="inlineStr">
        <is>
          <t>Littoral</t>
        </is>
      </c>
      <c r="F5" s="4" t="n">
        <v>1.5</v>
      </c>
      <c r="G5" s="4" t="n">
        <v>30</v>
      </c>
      <c r="H5" s="4" t="inlineStr">
        <is>
          <t>Livrée</t>
        </is>
      </c>
      <c r="I5" s="6" t="inlineStr">
        <is>
          <t>oui</t>
        </is>
      </c>
    </row>
    <row r="6">
      <c r="A6" s="4" t="n">
        <v>2</v>
      </c>
      <c r="B6" s="4" t="inlineStr">
        <is>
          <t>SO2608-129527</t>
        </is>
      </c>
      <c r="C6" s="4" t="inlineStr">
        <is>
          <t>CU2407-00160 -  PROVENDERIE LA GRACE DIVINE</t>
        </is>
      </c>
      <c r="D6" s="4" t="inlineStr">
        <is>
          <t>Nkongsamba</t>
        </is>
      </c>
      <c r="E6" s="4" t="inlineStr">
        <is>
          <t>Littoral</t>
        </is>
      </c>
      <c r="F6" s="4" t="n">
        <v>1</v>
      </c>
      <c r="G6" s="4" t="n">
        <v>20</v>
      </c>
      <c r="H6" s="4" t="inlineStr">
        <is>
          <t>Livrée</t>
        </is>
      </c>
      <c r="I6" s="6" t="inlineStr">
        <is>
          <t>oui</t>
        </is>
      </c>
    </row>
    <row r="7">
      <c r="A7" s="4" t="n">
        <v>3</v>
      </c>
      <c r="B7" s="4" t="inlineStr">
        <is>
          <t>SO2608-129591</t>
        </is>
      </c>
      <c r="C7" s="4" t="inlineStr">
        <is>
          <t>CU2407-00168 -  KAMGNO PIERRE</t>
        </is>
      </c>
      <c r="D7" s="4" t="inlineStr">
        <is>
          <t>Nkongsamba</t>
        </is>
      </c>
      <c r="E7" s="4" t="inlineStr">
        <is>
          <t>Littoral</t>
        </is>
      </c>
      <c r="F7" s="4" t="n">
        <v>1</v>
      </c>
      <c r="G7" s="4" t="n">
        <v>20</v>
      </c>
      <c r="H7" s="4" t="inlineStr">
        <is>
          <t>Livrée</t>
        </is>
      </c>
      <c r="I7" s="6" t="inlineStr">
        <is>
          <t>oui</t>
        </is>
      </c>
    </row>
    <row r="8">
      <c r="A8" s="4" t="n">
        <v>4</v>
      </c>
      <c r="B8" s="4" t="inlineStr">
        <is>
          <t>SO2608-129636</t>
        </is>
      </c>
      <c r="C8" s="4" t="inlineStr">
        <is>
          <t>CU2504-01319 -  ONANA JUSTIN</t>
        </is>
      </c>
      <c r="D8" s="4" t="inlineStr">
        <is>
          <t>Ngaoundere</t>
        </is>
      </c>
      <c r="E8" s="4" t="inlineStr">
        <is>
          <t>Centre</t>
        </is>
      </c>
      <c r="F8" s="4" t="n">
        <v>0.15</v>
      </c>
      <c r="G8" s="4" t="n">
        <v>3</v>
      </c>
      <c r="H8" s="4" t="inlineStr">
        <is>
          <t>Livrée</t>
        </is>
      </c>
      <c r="I8" s="6" t="inlineStr">
        <is>
          <t>oui</t>
        </is>
      </c>
    </row>
    <row r="9">
      <c r="A9" s="4" t="n">
        <v>5</v>
      </c>
      <c r="B9" s="4" t="inlineStr">
        <is>
          <t>SO2608-129546</t>
        </is>
      </c>
      <c r="C9" s="4" t="inlineStr">
        <is>
          <t>CU2406-00122 -  CLIENTS COMPTOIR FAMLA</t>
        </is>
      </c>
      <c r="D9" s="4" t="inlineStr">
        <is>
          <t>Famla</t>
        </is>
      </c>
      <c r="E9" s="4" t="inlineStr">
        <is>
          <t>Ouest</t>
        </is>
      </c>
      <c r="F9" s="4" t="n">
        <v>0.1</v>
      </c>
      <c r="G9" s="4" t="n">
        <v>2</v>
      </c>
      <c r="H9" s="4" t="inlineStr">
        <is>
          <t>Livrée</t>
        </is>
      </c>
      <c r="I9" s="6" t="inlineStr">
        <is>
          <t>oui</t>
        </is>
      </c>
    </row>
    <row r="10">
      <c r="A10" s="4" t="n">
        <v>6</v>
      </c>
      <c r="B10" s="4" t="inlineStr">
        <is>
          <t>SO2608-129623</t>
        </is>
      </c>
      <c r="C10" s="4" t="inlineStr">
        <is>
          <t>CU2508-13571 -  TALLA TESSO MEFENYA TIBEAU</t>
        </is>
      </c>
      <c r="D10" s="4" t="inlineStr">
        <is>
          <t>Ngaoundere</t>
        </is>
      </c>
      <c r="E10" s="4" t="inlineStr">
        <is>
          <t>Centre</t>
        </is>
      </c>
      <c r="F10" s="4" t="n">
        <v>0.05</v>
      </c>
      <c r="G10" s="4" t="n">
        <v>1</v>
      </c>
      <c r="H10" s="4" t="inlineStr">
        <is>
          <t>Livrée</t>
        </is>
      </c>
      <c r="I10" s="6" t="inlineStr">
        <is>
          <t>oui</t>
        </is>
      </c>
    </row>
    <row r="11">
      <c r="A11" s="8" t="n"/>
      <c r="B11" s="8" t="n"/>
      <c r="C11" s="8" t="inlineStr">
        <is>
          <t>TOTAL</t>
        </is>
      </c>
      <c r="D11" s="8" t="n"/>
      <c r="E11" s="8" t="n"/>
      <c r="F11" s="8" t="n">
        <v>3.8</v>
      </c>
      <c r="G11" s="8" t="n">
        <v>76</v>
      </c>
      <c r="H11" s="8" t="n"/>
      <c r="I11" s="8" t="n"/>
    </row>
    <row r="13">
      <c r="A13" s="10" t="inlineStr">
        <is>
          <t>Total soja-only: 6 cmdes (3.8 t) le 15/08/2026</t>
        </is>
      </c>
    </row>
    <row r="14">
      <c r="A14" s="2" t="inlineStr">
        <is>
          <t>Precedent (31/07): 14 cmdes (3.9 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8" customWidth="1" min="4" max="4"/>
    <col width="14" customWidth="1" min="5" max="5"/>
    <col width="16" customWidth="1" min="6" max="6"/>
  </cols>
  <sheetData>
    <row r="1">
      <c r="A1" s="1" t="inlineStr">
        <is>
          <t>TABLEAU 4 - Stock SOJA et date rupture (méthode BEKOKO + SPC + production concentrés)</t>
        </is>
      </c>
    </row>
    <row r="2">
      <c r="A2" s="2" t="inlineStr">
        <is>
          <t>Stock physique au 01/08/2026 (magasins BEKOKO). Exclusion 9 200 sacs SPC. Consommation = Vente + Production conc. Mise à jour 15/08/2026.</t>
        </is>
      </c>
    </row>
    <row r="4">
      <c r="A4" s="13" t="inlineStr">
        <is>
          <t>1. STOCK PHYSIQUE AU 01/08/2026 (magasins centraux BEKOKO)</t>
        </is>
      </c>
    </row>
    <row r="5">
      <c r="A5" s="15" t="inlineStr">
        <is>
          <t>Format</t>
        </is>
      </c>
      <c r="B5" s="15" t="inlineStr">
        <is>
          <t>Nb sacs</t>
        </is>
      </c>
      <c r="C5" s="15" t="inlineStr">
        <is>
          <t>Poids (t)</t>
        </is>
      </c>
      <c r="D5" s="15" t="inlineStr">
        <is>
          <t>Équivalent sacs 50kg</t>
        </is>
      </c>
    </row>
    <row r="6">
      <c r="A6" s="4" t="inlineStr">
        <is>
          <t>Sacs de 50kg (T102)</t>
        </is>
      </c>
      <c r="B6" s="4" t="n">
        <v>80384</v>
      </c>
      <c r="C6" s="4" t="n">
        <v>4019.2</v>
      </c>
      <c r="D6" s="4" t="n">
        <v>80384</v>
      </c>
    </row>
    <row r="7">
      <c r="A7" s="4" t="inlineStr">
        <is>
          <t>Sacs de 1kg (T1021)</t>
        </is>
      </c>
      <c r="B7" s="4" t="n">
        <v>2245</v>
      </c>
      <c r="C7" s="4" t="n">
        <v>2.245</v>
      </c>
      <c r="D7" s="4" t="n">
        <v>44.9</v>
      </c>
    </row>
    <row r="8">
      <c r="A8" s="4" t="inlineStr">
        <is>
          <t>Sacs de 5kg (T1023)</t>
        </is>
      </c>
      <c r="B8" s="4" t="n">
        <v>4</v>
      </c>
      <c r="C8" s="4" t="n">
        <v>0.02</v>
      </c>
      <c r="D8" s="4" t="n">
        <v>0.4</v>
      </c>
    </row>
    <row r="9">
      <c r="A9" s="4" t="inlineStr">
        <is>
          <t>Sacs de 25kg (T1024)</t>
        </is>
      </c>
      <c r="B9" s="4" t="n">
        <v>1</v>
      </c>
      <c r="C9" s="4" t="n">
        <v>0.025</v>
      </c>
      <c r="D9" s="4" t="n">
        <v>0.5</v>
      </c>
    </row>
    <row r="10">
      <c r="A10" s="16" t="inlineStr">
        <is>
          <t>STOCK BRUT TOTAL</t>
        </is>
      </c>
      <c r="B10" s="17" t="n"/>
      <c r="C10" s="16" t="n">
        <v>4021.5</v>
      </c>
      <c r="D10" s="16" t="n">
        <v>80430</v>
      </c>
    </row>
    <row r="11">
      <c r="A11" s="18" t="inlineStr">
        <is>
          <t>Moins: allocation SPC (entité soeur)</t>
        </is>
      </c>
      <c r="B11" s="4" t="n"/>
      <c r="C11" s="18" t="n">
        <v>460</v>
      </c>
      <c r="D11" s="18" t="n">
        <v>9200</v>
      </c>
    </row>
    <row r="12">
      <c r="A12" s="19" t="inlineStr">
        <is>
          <t>STOCK NET DISPONIBLE BELGOCAM</t>
        </is>
      </c>
      <c r="B12" s="20" t="n"/>
      <c r="C12" s="21" t="n">
        <v>3561.5</v>
      </c>
      <c r="D12" s="21" t="n">
        <v>71230</v>
      </c>
    </row>
    <row r="14">
      <c r="A14" s="13" t="inlineStr">
        <is>
          <t>2. CONSOMMATION SOJA (vente directe + production concentrés)</t>
        </is>
      </c>
    </row>
    <row r="15">
      <c r="A15" s="15" t="inlineStr">
        <is>
          <t>Flux</t>
        </is>
      </c>
      <c r="B15" s="15" t="inlineStr">
        <is>
          <t>Sacs/sem (lun-sam)</t>
        </is>
      </c>
      <c r="C15" s="15" t="inlineStr">
        <is>
          <t>Sacs/jour</t>
        </is>
      </c>
      <c r="D15" s="15" t="inlineStr">
        <is>
          <t>t/sem</t>
        </is>
      </c>
      <c r="E15" s="15" t="inlineStr">
        <is>
          <t>Source</t>
        </is>
      </c>
    </row>
    <row r="16">
      <c r="A16" s="4" t="inlineStr">
        <is>
          <t>Vente directe soja</t>
        </is>
      </c>
      <c r="B16" s="4" t="n">
        <v>18424</v>
      </c>
      <c r="C16" s="4" t="n">
        <v>3071</v>
      </c>
      <c r="D16" s="4" t="n">
        <v>921</v>
      </c>
      <c r="E16" s="4" t="inlineStr">
        <is>
          <t>Ventes août 13j (Livrée)</t>
        </is>
      </c>
    </row>
    <row r="17">
      <c r="A17" s="4" t="inlineStr">
        <is>
          <t>Production concentrés (min)</t>
        </is>
      </c>
      <c r="B17" s="4" t="n">
        <v>4500</v>
      </c>
      <c r="C17" s="4" t="n">
        <v>750</v>
      </c>
      <c r="D17" s="4" t="n">
        <v>225</v>
      </c>
      <c r="E17" s="4" t="inlineStr">
        <is>
          <t>Besoin production</t>
        </is>
      </c>
    </row>
    <row r="18">
      <c r="A18" s="4" t="inlineStr">
        <is>
          <t>Production concentrés (moy)</t>
        </is>
      </c>
      <c r="B18" s="4" t="n">
        <v>4900</v>
      </c>
      <c r="C18" s="4" t="n">
        <v>817</v>
      </c>
      <c r="D18" s="4" t="n">
        <v>245</v>
      </c>
      <c r="E18" s="4" t="inlineStr">
        <is>
          <t>Besoin production</t>
        </is>
      </c>
    </row>
    <row r="19">
      <c r="A19" s="4" t="inlineStr">
        <is>
          <t>Production concentrés (max)</t>
        </is>
      </c>
      <c r="B19" s="4" t="n">
        <v>5300</v>
      </c>
      <c r="C19" s="4" t="n">
        <v>883</v>
      </c>
      <c r="D19" s="4" t="n">
        <v>265</v>
      </c>
      <c r="E19" s="4" t="inlineStr">
        <is>
          <t>Besoin production</t>
        </is>
      </c>
    </row>
    <row r="20">
      <c r="A20" s="16" t="inlineStr">
        <is>
          <t>TOTAL MIN</t>
        </is>
      </c>
      <c r="B20" s="16" t="n">
        <v>22924</v>
      </c>
      <c r="C20" s="16" t="n">
        <v>3821</v>
      </c>
      <c r="D20" s="16" t="n">
        <v>1146</v>
      </c>
      <c r="E20" s="17" t="n"/>
    </row>
    <row r="21">
      <c r="A21" s="16" t="inlineStr">
        <is>
          <t>TOTAL MOY</t>
        </is>
      </c>
      <c r="B21" s="16" t="n">
        <v>23324</v>
      </c>
      <c r="C21" s="16" t="n">
        <v>3887</v>
      </c>
      <c r="D21" s="16" t="n">
        <v>1166</v>
      </c>
      <c r="E21" s="17" t="n"/>
    </row>
    <row r="22">
      <c r="A22" s="16" t="inlineStr">
        <is>
          <t>TOTAL MAX</t>
        </is>
      </c>
      <c r="B22" s="16" t="n">
        <v>23724</v>
      </c>
      <c r="C22" s="16" t="n">
        <v>3954</v>
      </c>
      <c r="D22" s="16" t="n">
        <v>1186</v>
      </c>
      <c r="E22" s="17" t="n"/>
    </row>
    <row r="24">
      <c r="A24" s="13" t="inlineStr">
        <is>
          <t>3. DATE DE RUPTURE PROBABLE (stock net BELGOCAM, départ 15/08/2026)</t>
        </is>
      </c>
    </row>
    <row r="25">
      <c r="A25" s="15" t="inlineStr">
        <is>
          <t>Scénario</t>
        </is>
      </c>
      <c r="B25" s="15" t="inlineStr">
        <is>
          <t>Stock net (sacs éq. 50kg)</t>
        </is>
      </c>
      <c r="C25" s="15" t="inlineStr">
        <is>
          <t>Conso (sacs/sem)</t>
        </is>
      </c>
      <c r="D25" s="15" t="inlineStr">
        <is>
          <t>Jours restants</t>
        </is>
      </c>
      <c r="E25" s="15" t="inlineStr">
        <is>
          <t>Semaines</t>
        </is>
      </c>
      <c r="F25" s="15" t="inlineStr">
        <is>
          <t>Date rupture</t>
        </is>
      </c>
    </row>
    <row r="26">
      <c r="A26" s="4" t="inlineStr">
        <is>
          <t>Min</t>
        </is>
      </c>
      <c r="B26" s="4" t="n">
        <v>71230</v>
      </c>
      <c r="C26" s="4" t="n">
        <v>22924</v>
      </c>
      <c r="D26" s="4" t="n">
        <v>22</v>
      </c>
      <c r="E26" s="4" t="n">
        <v>3.1</v>
      </c>
      <c r="F26" s="22" t="inlineStr">
        <is>
          <t>05/09/2026</t>
        </is>
      </c>
    </row>
    <row r="27">
      <c r="A27" s="4" t="inlineStr">
        <is>
          <t>Moyen</t>
        </is>
      </c>
      <c r="B27" s="4" t="n">
        <v>71230</v>
      </c>
      <c r="C27" s="4" t="n">
        <v>23324</v>
      </c>
      <c r="D27" s="4" t="n">
        <v>21</v>
      </c>
      <c r="E27" s="4" t="n">
        <v>3.1</v>
      </c>
      <c r="F27" s="22" t="inlineStr">
        <is>
          <t>05/09/2026</t>
        </is>
      </c>
    </row>
    <row r="28">
      <c r="A28" s="4" t="inlineStr">
        <is>
          <t>Max</t>
        </is>
      </c>
      <c r="B28" s="4" t="n">
        <v>71230</v>
      </c>
      <c r="C28" s="4" t="n">
        <v>23724</v>
      </c>
      <c r="D28" s="4" t="n">
        <v>21</v>
      </c>
      <c r="E28" s="4" t="n">
        <v>3</v>
      </c>
      <c r="F28" s="22" t="inlineStr">
        <is>
          <t>05/09/2026</t>
        </is>
      </c>
    </row>
    <row r="30">
      <c r="A30" s="10" t="inlineStr">
        <is>
          <t>ANALYSE: Stock net BELGOCAM = 71230 sacs (3561 t) après exclusion 9 200 sacs SPC.</t>
        </is>
      </c>
    </row>
    <row r="31">
      <c r="A31" s="23" t="inlineStr">
        <is>
          <t>Date de rupture probable: 05/09/2026 (21 jours, 3.1 semaines).</t>
        </is>
      </c>
    </row>
    <row r="32">
      <c r="A32" s="23" t="inlineStr">
        <is>
          <t>URGENCE: réapprovisionnement à prévoir avant le 26/08/2026 (10 jours de marge).</t>
        </is>
      </c>
    </row>
    <row r="33">
      <c r="A33" s="14" t="inlineStr">
        <is>
          <t>Méthode: stock net = brut - 9 200 sacs SPC. Consommation = vente directe + production concentrés (4500-5300 sacs/sem).</t>
        </is>
      </c>
    </row>
    <row r="34">
      <c r="A34" s="14" t="inlineStr">
        <is>
          <t>Le stock inclut tous les formats (50kg, 1kg, 5kg, 25kg) convertis en équivalent 50kg. Ventes août au 15/08/2026 (13j).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TABLEAU 5 - Tendance journalière SOJA et CONCENTRÉS (Août 2026)</t>
        </is>
      </c>
    </row>
    <row r="2">
      <c r="A2" s="2" t="inlineStr">
        <is>
          <t>Données Livrées au 15/08/2026. Jours ouvrés (lun-sam) en couleur, dimanches en gris.</t>
        </is>
      </c>
    </row>
    <row r="4">
      <c r="A4" s="3" t="inlineStr">
        <is>
          <t>Date</t>
        </is>
      </c>
      <c r="B4" s="3" t="inlineStr">
        <is>
          <t>Jour</t>
        </is>
      </c>
      <c r="C4" s="3" t="inlineStr">
        <is>
          <t>Jour sem.</t>
        </is>
      </c>
      <c r="D4" s="3" t="inlineStr">
        <is>
          <t>Soja (t)</t>
        </is>
      </c>
      <c r="E4" s="3" t="inlineStr">
        <is>
          <t>Concentrés (t)</t>
        </is>
      </c>
      <c r="F4" s="3" t="inlineStr">
        <is>
          <t>Ratio soja:conc</t>
        </is>
      </c>
      <c r="G4" s="3" t="inlineStr">
        <is>
          <t>Ratio numérique</t>
        </is>
      </c>
    </row>
    <row r="5">
      <c r="A5" s="4" t="inlineStr">
        <is>
          <t>01/08/2026</t>
        </is>
      </c>
      <c r="B5" s="4" t="n">
        <v>1</v>
      </c>
      <c r="C5" s="4" t="inlineStr">
        <is>
          <t>Sam</t>
        </is>
      </c>
      <c r="D5" s="4" t="n">
        <v>167.3</v>
      </c>
      <c r="E5" s="4" t="n">
        <v>60.6</v>
      </c>
      <c r="F5" s="4" t="inlineStr">
        <is>
          <t>2.76:1</t>
        </is>
      </c>
      <c r="G5" t="n">
        <v>2.76</v>
      </c>
    </row>
    <row r="6">
      <c r="A6" s="24" t="inlineStr">
        <is>
          <t>02/08/2026</t>
        </is>
      </c>
      <c r="B6" s="24" t="n">
        <v>2</v>
      </c>
      <c r="C6" s="24" t="inlineStr">
        <is>
          <t>Dim</t>
        </is>
      </c>
      <c r="D6" s="24" t="n">
        <v>0</v>
      </c>
      <c r="E6" s="24" t="n">
        <v>0</v>
      </c>
      <c r="F6" s="24" t="inlineStr">
        <is>
          <t>—</t>
        </is>
      </c>
    </row>
    <row r="7">
      <c r="A7" s="4" t="inlineStr">
        <is>
          <t>03/08/2026</t>
        </is>
      </c>
      <c r="B7" s="4" t="n">
        <v>3</v>
      </c>
      <c r="C7" s="4" t="inlineStr">
        <is>
          <t>Lun</t>
        </is>
      </c>
      <c r="D7" s="4" t="n">
        <v>292.7</v>
      </c>
      <c r="E7" s="4" t="n">
        <v>105.6</v>
      </c>
      <c r="F7" s="4" t="inlineStr">
        <is>
          <t>2.77:1</t>
        </is>
      </c>
      <c r="G7" t="n">
        <v>2.77</v>
      </c>
    </row>
    <row r="8">
      <c r="A8" s="4" t="inlineStr">
        <is>
          <t>04/08/2026</t>
        </is>
      </c>
      <c r="B8" s="4" t="n">
        <v>4</v>
      </c>
      <c r="C8" s="4" t="inlineStr">
        <is>
          <t>Mar</t>
        </is>
      </c>
      <c r="D8" s="4" t="n">
        <v>160</v>
      </c>
      <c r="E8" s="4" t="n">
        <v>63.1</v>
      </c>
      <c r="F8" s="4" t="inlineStr">
        <is>
          <t>2.54:1</t>
        </is>
      </c>
      <c r="G8" t="n">
        <v>2.54</v>
      </c>
    </row>
    <row r="9">
      <c r="A9" s="4" t="inlineStr">
        <is>
          <t>05/08/2026</t>
        </is>
      </c>
      <c r="B9" s="4" t="n">
        <v>5</v>
      </c>
      <c r="C9" s="4" t="inlineStr">
        <is>
          <t>Mer</t>
        </is>
      </c>
      <c r="D9" s="4" t="n">
        <v>179.7</v>
      </c>
      <c r="E9" s="4" t="n">
        <v>66.8</v>
      </c>
      <c r="F9" s="4" t="inlineStr">
        <is>
          <t>2.69:1</t>
        </is>
      </c>
      <c r="G9" t="n">
        <v>2.69</v>
      </c>
    </row>
    <row r="10">
      <c r="A10" s="4" t="inlineStr">
        <is>
          <t>06/08/2026</t>
        </is>
      </c>
      <c r="B10" s="4" t="n">
        <v>6</v>
      </c>
      <c r="C10" s="4" t="inlineStr">
        <is>
          <t>Jeu</t>
        </is>
      </c>
      <c r="D10" s="4" t="n">
        <v>125.7</v>
      </c>
      <c r="E10" s="4" t="n">
        <v>55.8</v>
      </c>
      <c r="F10" s="4" t="inlineStr">
        <is>
          <t>2.25:1</t>
        </is>
      </c>
      <c r="G10" t="n">
        <v>2.25</v>
      </c>
    </row>
    <row r="11">
      <c r="A11" s="4" t="inlineStr">
        <is>
          <t>07/08/2026</t>
        </is>
      </c>
      <c r="B11" s="4" t="n">
        <v>7</v>
      </c>
      <c r="C11" s="4" t="inlineStr">
        <is>
          <t>Ven</t>
        </is>
      </c>
      <c r="D11" s="4" t="n">
        <v>155.8</v>
      </c>
      <c r="E11" s="4" t="n">
        <v>57.7</v>
      </c>
      <c r="F11" s="4" t="inlineStr">
        <is>
          <t>2.7:1</t>
        </is>
      </c>
      <c r="G11" t="n">
        <v>2.7</v>
      </c>
    </row>
    <row r="12">
      <c r="A12" s="4" t="inlineStr">
        <is>
          <t>08/08/2026</t>
        </is>
      </c>
      <c r="B12" s="4" t="n">
        <v>8</v>
      </c>
      <c r="C12" s="4" t="inlineStr">
        <is>
          <t>Sam</t>
        </is>
      </c>
      <c r="D12" s="4" t="n">
        <v>99.90000000000001</v>
      </c>
      <c r="E12" s="4" t="n">
        <v>39.6</v>
      </c>
      <c r="F12" s="4" t="inlineStr">
        <is>
          <t>2.52:1</t>
        </is>
      </c>
      <c r="G12" t="n">
        <v>2.52</v>
      </c>
    </row>
    <row r="13">
      <c r="A13" s="24" t="inlineStr">
        <is>
          <t>09/08/2026</t>
        </is>
      </c>
      <c r="B13" s="24" t="n">
        <v>9</v>
      </c>
      <c r="C13" s="24" t="inlineStr">
        <is>
          <t>Dim</t>
        </is>
      </c>
      <c r="D13" s="24" t="n">
        <v>0</v>
      </c>
      <c r="E13" s="24" t="n">
        <v>0</v>
      </c>
      <c r="F13" s="24" t="inlineStr">
        <is>
          <t>—</t>
        </is>
      </c>
    </row>
    <row r="14">
      <c r="A14" s="4" t="inlineStr">
        <is>
          <t>10/08/2026</t>
        </is>
      </c>
      <c r="B14" s="4" t="n">
        <v>10</v>
      </c>
      <c r="C14" s="4" t="inlineStr">
        <is>
          <t>Lun</t>
        </is>
      </c>
      <c r="D14" s="4" t="n">
        <v>267.8</v>
      </c>
      <c r="E14" s="4" t="n">
        <v>110.2</v>
      </c>
      <c r="F14" s="4" t="inlineStr">
        <is>
          <t>2.43:1</t>
        </is>
      </c>
      <c r="G14" t="n">
        <v>2.43</v>
      </c>
    </row>
    <row r="15">
      <c r="A15" s="4" t="inlineStr">
        <is>
          <t>11/08/2026</t>
        </is>
      </c>
      <c r="B15" s="4" t="n">
        <v>11</v>
      </c>
      <c r="C15" s="4" t="inlineStr">
        <is>
          <t>Mar</t>
        </is>
      </c>
      <c r="D15" s="4" t="n">
        <v>175.8</v>
      </c>
      <c r="E15" s="4" t="n">
        <v>70.59999999999999</v>
      </c>
      <c r="F15" s="4" t="inlineStr">
        <is>
          <t>2.49:1</t>
        </is>
      </c>
      <c r="G15" t="n">
        <v>2.49</v>
      </c>
    </row>
    <row r="16">
      <c r="A16" s="4" t="inlineStr">
        <is>
          <t>12/08/2026</t>
        </is>
      </c>
      <c r="B16" s="4" t="n">
        <v>12</v>
      </c>
      <c r="C16" s="4" t="inlineStr">
        <is>
          <t>Mer</t>
        </is>
      </c>
      <c r="D16" s="4" t="n">
        <v>149.4</v>
      </c>
      <c r="E16" s="4" t="n">
        <v>65.90000000000001</v>
      </c>
      <c r="F16" s="4" t="inlineStr">
        <is>
          <t>2.27:1</t>
        </is>
      </c>
      <c r="G16" t="n">
        <v>2.27</v>
      </c>
    </row>
    <row r="17">
      <c r="A17" s="4" t="inlineStr">
        <is>
          <t>13/08/2026</t>
        </is>
      </c>
      <c r="B17" s="4" t="n">
        <v>13</v>
      </c>
      <c r="C17" s="4" t="inlineStr">
        <is>
          <t>Jeu</t>
        </is>
      </c>
      <c r="D17" s="4" t="n">
        <v>74.40000000000001</v>
      </c>
      <c r="E17" s="4" t="n">
        <v>34.5</v>
      </c>
      <c r="F17" s="4" t="inlineStr">
        <is>
          <t>2.16:1</t>
        </is>
      </c>
      <c r="G17" t="n">
        <v>2.16</v>
      </c>
    </row>
    <row r="18">
      <c r="A18" s="4" t="inlineStr">
        <is>
          <t>14/08/2026</t>
        </is>
      </c>
      <c r="B18" s="4" t="n">
        <v>14</v>
      </c>
      <c r="C18" s="4" t="inlineStr">
        <is>
          <t>Ven</t>
        </is>
      </c>
      <c r="D18" s="4" t="n">
        <v>102.5</v>
      </c>
      <c r="E18" s="4" t="n">
        <v>51.1</v>
      </c>
      <c r="F18" s="4" t="inlineStr">
        <is>
          <t>2.01:1</t>
        </is>
      </c>
      <c r="G18" t="n">
        <v>2.01</v>
      </c>
    </row>
    <row r="19">
      <c r="A19" s="4" t="inlineStr">
        <is>
          <t>15/08/2026</t>
        </is>
      </c>
      <c r="B19" s="4" t="n">
        <v>15</v>
      </c>
      <c r="C19" s="4" t="inlineStr">
        <is>
          <t>Sam</t>
        </is>
      </c>
      <c r="D19" s="4" t="n">
        <v>44.8</v>
      </c>
      <c r="E19" s="4" t="n">
        <v>18.4</v>
      </c>
      <c r="F19" s="4" t="inlineStr">
        <is>
          <t>2.43:1</t>
        </is>
      </c>
      <c r="G19" t="n">
        <v>2.43</v>
      </c>
    </row>
    <row r="23">
      <c r="A23" s="13" t="inlineStr">
        <is>
          <t>NOTES DE LECTURE:</t>
        </is>
      </c>
    </row>
    <row r="24">
      <c r="A24" s="25" t="inlineStr">
        <is>
          <t>• La ligne "Soja" (bleu) montre la consommation journalière de tourteaux de soja — impactée par la hausse +1 000 FCFA/sac (début août) puis +2 000 FCFA/sac (23/07).</t>
        </is>
      </c>
    </row>
    <row r="25">
      <c r="A25" s="25" t="inlineStr">
        <is>
          <t>• La ligne "Concentrés" (or) montre la consommation journalière de concentrés (BELGO Chair/Ponte/Porc).</t>
        </is>
      </c>
    </row>
    <row r="26">
      <c r="A26" s="25" t="inlineStr">
        <is>
          <t>• Le ratio soja:conc cible est 3:1 (objectif bundle). Un ratio supérieur signifie que les clients achètent plus de soja que de concentrés — dégradation du bundle.</t>
        </is>
      </c>
    </row>
    <row r="27">
      <c r="A27" s="25" t="inlineStr">
        <is>
          <t>• Les dimanches sont grisés (pas de ventes). Le 23/07 est surligné en rouge (date de la 2e hausse tarifaire +2 000 FCFA/sac).</t>
        </is>
      </c>
    </row>
    <row r="28">
      <c r="A28" s="25" t="inlineStr">
        <is>
          <t>• À observer: la tendance soja après le 23/07 vs avant — l'effet prix devrait ralentir la consommation soja si les clients sont sensibles au prix.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2026-08-16T20:48:35Z</dcterms:created>
  <dcterms:modified xmlns:dcterms="http://purl.org/dc/terms/" xmlns:xsi="http://www.w3.org/2001/XMLSchema-instance" xsi:type="dcterms:W3CDTF">2026-08-16T20:48:35Z</dcterms:modified>
</cp:coreProperties>
</file>